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 Dashboard" sheetId="1" state="visible" r:id="rId3"/>
    <sheet name="📦 Revenue Category Mix" sheetId="2" state="visible" r:id="rId4"/>
    <sheet name="📅 FY 2025-26 Analysis" sheetId="3" state="visible" r:id="rId5"/>
    <sheet name="🔍 Q2 2026 Analysis" sheetId="4" state="visible" r:id="rId6"/>
    <sheet name="📈 Monthly Trend" sheetId="5" state="visible" r:id="rId7"/>
    <sheet name="💡 Insights &amp; Concentr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<sst xmlns="http://schemas.openxmlformats.org/spreadsheetml/2006/main" count="307" uniqueCount="143">
  <si>
    <t xml:space="preserve">CARDIOTRACK – INSURER REVENUE ANALYSIS</t>
  </si>
  <si>
    <t xml:space="preserve">Source: Daily_Insurer_Billing.xls + Daily_Insurer_Billing_2.xls  |  97,000 transactions  |  Mar 2022 – May 2026</t>
  </si>
  <si>
    <t xml:space="preserve">Total Revenue (All Time)</t>
  </si>
  <si>
    <t xml:space="preserve">FY 2025-26 Revenue</t>
  </si>
  <si>
    <t xml:space="preserve">Q2 2026 Revenue (Apr-May)</t>
  </si>
  <si>
    <t xml:space="preserve">Total Cases (All Time)</t>
  </si>
  <si>
    <t xml:space="preserve">Active Insurers</t>
  </si>
  <si>
    <t xml:space="preserve">📋 Insurer-Wise Revenue Summary — All Time</t>
  </si>
  <si>
    <t xml:space="preserve">#</t>
  </si>
  <si>
    <t xml:space="preserve">Insurer</t>
  </si>
  <si>
    <t xml:space="preserve">Cases</t>
  </si>
  <si>
    <t xml:space="preserve">Package (Core)</t>
  </si>
  <si>
    <t xml:space="preserve">Ancillary</t>
  </si>
  <si>
    <t xml:space="preserve">Videography</t>
  </si>
  <si>
    <t xml:space="preserve">Service Charges</t>
  </si>
  <si>
    <t xml:space="preserve">Home Visit</t>
  </si>
  <si>
    <t xml:space="preserve">Interpretation</t>
  </si>
  <si>
    <t xml:space="preserve">Total Revenue</t>
  </si>
  <si>
    <t xml:space="preserve">Share %</t>
  </si>
  <si>
    <t xml:space="preserve">FY 2025-26</t>
  </si>
  <si>
    <t xml:space="preserve">Q2 2026 (Apr-May)</t>
  </si>
  <si>
    <t xml:space="preserve">Rank</t>
  </si>
  <si>
    <t xml:space="preserve">ICICI Lombard</t>
  </si>
  <si>
    <t xml:space="preserve">Bajaj Life</t>
  </si>
  <si>
    <t xml:space="preserve">Aditya Birla Sun Life Insurance</t>
  </si>
  <si>
    <t xml:space="preserve">HDFC Life</t>
  </si>
  <si>
    <t xml:space="preserve">SBI Life Insurance Company</t>
  </si>
  <si>
    <t xml:space="preserve">TATA AIA Life Insurance Company</t>
  </si>
  <si>
    <t xml:space="preserve">Canara HSBC Life Insurance</t>
  </si>
  <si>
    <t xml:space="preserve">Acko Life Insurance</t>
  </si>
  <si>
    <t xml:space="preserve">Ageas Federal Life Insurance</t>
  </si>
  <si>
    <t xml:space="preserve">Star Union Daichi Life Insurance</t>
  </si>
  <si>
    <t xml:space="preserve">Acko Health Insurance</t>
  </si>
  <si>
    <t xml:space="preserve">Pramerica Life Insurance</t>
  </si>
  <si>
    <t xml:space="preserve">MD India LIC</t>
  </si>
  <si>
    <t xml:space="preserve">TATA AIG Health Insurance</t>
  </si>
  <si>
    <t xml:space="preserve">GRAND TOTAL</t>
  </si>
  <si>
    <t xml:space="preserve">100%</t>
  </si>
  <si>
    <t xml:space="preserve">REVENUE CATEGORY MIX — BY INSURER (ALL TIME)</t>
  </si>
  <si>
    <t xml:space="preserve">Shows how each insurer's revenue is split across billing categories</t>
  </si>
  <si>
    <t xml:space="preserve">◆ Absolute Revenue by Category (₹)</t>
  </si>
  <si>
    <t xml:space="preserve">Package</t>
  </si>
  <si>
    <t xml:space="preserve">Svc Charges</t>
  </si>
  <si>
    <t xml:space="preserve">Total</t>
  </si>
  <si>
    <t xml:space="preserve">Avg/Case</t>
  </si>
  <si>
    <t xml:space="preserve">TOTAL</t>
  </si>
  <si>
    <t xml:space="preserve">◆ Revenue Category Mix % (row sums to 100%)</t>
  </si>
  <si>
    <t xml:space="preserve">Package %</t>
  </si>
  <si>
    <t xml:space="preserve">Ancillary %</t>
  </si>
  <si>
    <t xml:space="preserve">Videography %</t>
  </si>
  <si>
    <t xml:space="preserve">Svc Charges %</t>
  </si>
  <si>
    <t xml:space="preserve">Home Visit %</t>
  </si>
  <si>
    <t xml:space="preserve">Interpretation %</t>
  </si>
  <si>
    <t xml:space="preserve">Non-Package %</t>
  </si>
  <si>
    <t xml:space="preserve">Weighted Average</t>
  </si>
  <si>
    <t xml:space="preserve">◆ Overall Revenue Mix (₹ by Category)</t>
  </si>
  <si>
    <t xml:space="preserve">FINANCIAL YEAR 2025-26 ANALYSIS  (April 2025 – May 2026 YTD)</t>
  </si>
  <si>
    <t xml:space="preserve">◆ FY 2025-26 Revenue by Category vs. FY 2024-25</t>
  </si>
  <si>
    <t xml:space="preserve">Cases (FY26)</t>
  </si>
  <si>
    <t xml:space="preserve">FY 2025-26 Total</t>
  </si>
  <si>
    <t xml:space="preserve">FY 2024-25 Total</t>
  </si>
  <si>
    <t xml:space="preserve">YoY Growth</t>
  </si>
  <si>
    <t xml:space="preserve">FY TOTAL</t>
  </si>
  <si>
    <t xml:space="preserve">Q2 2026 ANALYSIS  (April 2026 – May 2026, YTD)</t>
  </si>
  <si>
    <t xml:space="preserve">◆ Q2 2026 Revenue Breakdown by Insurer &amp; Category</t>
  </si>
  <si>
    <t xml:space="preserve">Q2 Total</t>
  </si>
  <si>
    <t xml:space="preserve">Share of Q2 %</t>
  </si>
  <si>
    <t xml:space="preserve">Avg per Case</t>
  </si>
  <si>
    <t xml:space="preserve">Q2 TOTAL</t>
  </si>
  <si>
    <t xml:space="preserve">MONTHLY REVENUE TREND — LAST 24 MONTHS (₹)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</si>
  <si>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</si>
  <si>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</si>
  <si>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</si>
  <si>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</si>
  <si>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</si>
  <si>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</si>
  <si>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</si>
  <si>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</si>
  <si>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</si>
  <si>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</si>
  <si>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</si>
  <si>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</si>
  <si>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</si>
  <si>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</si>
  <si>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</si>
  <si>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</si>
  <si>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</si>
  <si>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</si>
  <si>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</si>
  <si>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</si>
  <si>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</si>
  <si>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</si>
  <si>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</si>
  <si>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</si>
  <si>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MONTHLY TOTAL</t>
  </si>
  <si>
    <t xml:space="preserve">◆ Monthly Revenue Trend — Top 5 Insurers</t>
  </si>
  <si>
    <t xml:space="preserve">Month</t>
  </si>
  <si>
    <t xml:space="preserve">Aditya Birla Sun Life Ins</t>
  </si>
  <si>
    <t xml:space="preserve">SBI Life Insurance Compan</t>
  </si>
  <si>
    <t xml:space="preserve">REVENUE INSIGHTS &amp; CONCENTRATION ANALYSIS</t>
  </si>
  <si>
    <t xml:space="preserve">◆ Top &amp; Bottom Performers — All-Time Total Revenue</t>
  </si>
  <si>
    <t xml:space="preserve">All-Time Revenue</t>
  </si>
  <si>
    <t xml:space="preserve">FY 25-26 Revenue</t>
  </si>
  <si>
    <t xml:space="preserve">FY 25-26 Cases</t>
  </si>
  <si>
    <t xml:space="preserve">Avg/Case (All)</t>
  </si>
  <si>
    <t xml:space="preserve">Revenue Trend</t>
  </si>
  <si>
    <t xml:space="preserve">Status</t>
  </si>
  <si>
    <t xml:space="preserve">▲ Growing</t>
  </si>
  <si>
    <t xml:space="preserve">Active</t>
  </si>
  <si>
    <t xml:space="preserve">···</t>
  </si>
  <si>
    <t xml:space="preserve">◆ Inactive</t>
  </si>
  <si>
    <t xml:space="preserve">Inactive FY26</t>
  </si>
  <si>
    <t xml:space="preserve">◆ Revenue Concentration Analysis</t>
  </si>
  <si>
    <t xml:space="preserve">Metric</t>
  </si>
  <si>
    <t xml:space="preserve">Value</t>
  </si>
  <si>
    <t xml:space="preserve">Assessment</t>
  </si>
  <si>
    <t xml:space="preserve">Top 1 insurer share</t>
  </si>
  <si>
    <t xml:space="preserve">Moderate</t>
  </si>
  <si>
    <t xml:space="preserve">Top 3 insurers share</t>
  </si>
  <si>
    <t xml:space="preserve">Highly concentrated</t>
  </si>
  <si>
    <t xml:space="preserve">Top 5 insurers share</t>
  </si>
  <si>
    <t xml:space="preserve">Very concentrated</t>
  </si>
  <si>
    <t xml:space="preserve">◆ Insurer Activity Status Summary</t>
  </si>
  <si>
    <t xml:space="preserve">All-Time Total</t>
  </si>
  <si>
    <t xml:space="preserve">FY 24-25</t>
  </si>
  <si>
    <t xml:space="preserve">FY 25-26</t>
  </si>
  <si>
    <t xml:space="preserve">FY Growth</t>
  </si>
  <si>
    <t xml:space="preserve">Q2 2026</t>
  </si>
  <si>
    <t xml:space="preserve">Activity Status</t>
  </si>
  <si>
    <t xml:space="preserve">🟢 Active Q2</t>
  </si>
  <si>
    <t xml:space="preserve">🟡 Active FY (no Q2)</t>
  </si>
  <si>
    <t xml:space="preserve">🔴 Inactive FY26</t>
  </si>
  <si>
    <t xml:space="preserve">N/A</t>
  </si>
  <si>
    <t xml:space="preserve">◆ Key Revenue Insights</t>
  </si>
  <si>
    <t xml:space="preserve">Finding</t>
  </si>
  <si>
    <t xml:space="preserve">1. Package (core billing) contributes 90% of total all-time revenue — non-package ancillaries are 10%.</t>
  </si>
  <si>
    <t xml:space="preserve">2. Top insurer ICICI Lombard holds 38% of all-time revenue (695.2L out of 1824.4L total).</t>
  </si>
  <si>
    <t xml:space="preserve">3. Top 3 insurers together account for 78% of all revenue — indicating high concentration.</t>
  </si>
  <si>
    <t xml:space="preserve">4. FY 2025-26 is led by Bajaj Life (₹270.4L) followed by Aditya Birla Sun Life Insurance.</t>
  </si>
  <si>
    <t xml:space="preserve">5. Fastest growing insurer YoY: Star Union Daichi Life Insurance (+587% FY25→FY26).</t>
  </si>
  <si>
    <t xml:space="preserve">6. Q2 2026 (Apr-May) has 6 active insurers generating ₹93.78L.</t>
  </si>
  <si>
    <t xml:space="preserve">7. ICICI Lombard has near-zero ancillary/home visit charges — pure package billing model.</t>
  </si>
  <si>
    <t xml:space="preserve">8. Bajaj Life &amp; Aditya Birla have significant non-package revenue (home visit + service charges), indicating a premium service model.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</si>
</sst>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;&quot;(₹&quot;#,##0\);\-"/>
    <numFmt numFmtId="166" formatCode="#,##0;\(#,##0\);\-"/>
    <numFmt numFmtId="167" formatCode="0"/>
    <numFmt numFmtId="168" formatCode="0.0%;\(0.0%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6B"/>
      <name val="Arial"/>
      <family val="0"/>
      <charset val="1"/>
    </font>
    <font>
      <i val="true"/>
      <sz val="9"/>
      <color rgb="FF5D6D7E"/>
      <name val="Arial"/>
      <family val="0"/>
      <charset val="1"/>
    </font>
    <font>
      <sz val="9"/>
      <color rgb="FF5D6D7E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B3A6B"/>
      <name val="Arial"/>
      <family val="0"/>
      <charset val="1"/>
    </font>
    <font>
      <b val="true"/>
      <sz val="10"/>
      <color rgb="FFB03A2E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BF2FB"/>
        <bgColor rgb="FFF0F5FC"/>
      </patternFill>
    </fill>
    <fill>
      <patternFill patternType="solid">
        <fgColor rgb="FF1B3A6B"/>
        <bgColor rgb="FF333399"/>
      </patternFill>
    </fill>
    <fill>
      <patternFill patternType="solid">
        <fgColor rgb="FFF0F5FC"/>
        <bgColor rgb="FFEBF2FB"/>
      </patternFill>
    </fill>
    <fill>
      <patternFill patternType="solid">
        <fgColor rgb="FF2E6DB4"/>
        <bgColor rgb="FF2E86C1"/>
      </patternFill>
    </fill>
    <fill>
      <patternFill patternType="solid">
        <fgColor rgb="FFE8F5E9"/>
        <bgColor rgb="FFEBF2FB"/>
      </patternFill>
    </fill>
    <fill>
      <patternFill patternType="solid">
        <fgColor rgb="FFFFEBEE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C1"/>
      <rgbColor rgb="FFB0BEC5"/>
      <rgbColor rgb="FF878787"/>
      <rgbColor rgb="FF9999FF"/>
      <rgbColor rgb="FF8E44AD"/>
      <rgbColor rgb="FFF9F9F9"/>
      <rgbColor rgb="FFE8F5E9"/>
      <rgbColor rgb="FF660066"/>
      <rgbColor rgb="FFC0504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BF2FB"/>
      <rgbColor rgb="FFF0F5FC"/>
      <rgbColor rgb="FFFFEBEE"/>
      <rgbColor rgb="FFAED6F1"/>
      <rgbColor rgb="FFFF99CC"/>
      <rgbColor rgb="FFCC99FF"/>
      <rgbColor rgb="FFFFCC99"/>
      <rgbColor rgb="FF2E6DB4"/>
      <rgbColor rgb="FF4BACC6"/>
      <rgbColor rgb="FF9BBB59"/>
      <rgbColor rgb="FFFFCC00"/>
      <rgbColor rgb="FFF79646"/>
      <rgbColor rgb="FFE67E22"/>
      <rgbColor rgb="FF5D6D7E"/>
      <rgbColor rgb="FF8064A2"/>
      <rgbColor rgb="FF1B3A6B"/>
      <rgbColor rgb="FF28B463"/>
      <rgbColor rgb="FF003300"/>
      <rgbColor rgb="FF333300"/>
      <rgbColor rgb="FFB03A2E"/>
      <rgbColor rgb="FFC0392B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All-Time Total Revenue by Insurer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Summary Dashboard'!J9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E6DB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Summary Dashboard'!$B$10:$B$23</c:f>
              <c:strCache>
                <c:ptCount val="14"/>
                <c:pt idx="0">
                  <c:v>ICICI Lombard</c:v>
                </c:pt>
                <c:pt idx="1">
                  <c:v>Bajaj Life</c:v>
                </c:pt>
                <c:pt idx="2">
                  <c:v>Aditya Birla Sun Life Insurance</c:v>
                </c:pt>
                <c:pt idx="3">
                  <c:v>HDFC Life</c:v>
                </c:pt>
                <c:pt idx="4">
                  <c:v>SBI Life Insurance Company</c:v>
                </c:pt>
                <c:pt idx="5">
                  <c:v>TATA AIA Life Insurance Company</c:v>
                </c:pt>
                <c:pt idx="6">
                  <c:v>Canara HSBC Life Insurance</c:v>
                </c:pt>
                <c:pt idx="7">
                  <c:v>Acko Life Insurance</c:v>
                </c:pt>
                <c:pt idx="8">
                  <c:v>Ageas Federal Life Insurance</c:v>
                </c:pt>
                <c:pt idx="9">
                  <c:v>Star Union Daichi Life Insurance</c:v>
                </c:pt>
                <c:pt idx="10">
                  <c:v>Acko Health Insurance</c:v>
                </c:pt>
                <c:pt idx="11">
                  <c:v>Pramerica Life Insurance</c:v>
                </c:pt>
                <c:pt idx="12">
                  <c:v>MD India LIC</c:v>
                </c:pt>
                <c:pt idx="13">
                  <c:v>TATA AIG Health Insurance</c:v>
                </c:pt>
              </c:strCache>
            </c:strRef>
          </c:cat>
          <c:val>
            <c:numRef>
              <c:f>'📊 Summary Dashboard'!$J$10:$J$23</c:f>
              <c:numCache>
                <c:formatCode>\₹#,##0;"(₹"#,##0\);\-</c:formatCode>
                <c:ptCount val="14"/>
                <c:pt idx="0">
                  <c:v>69522627.7400004</c:v>
                </c:pt>
                <c:pt idx="1">
                  <c:v>41419082.38</c:v>
                </c:pt>
                <c:pt idx="2">
                  <c:v>30522841.28</c:v>
                </c:pt>
                <c:pt idx="3">
                  <c:v>15870087.35</c:v>
                </c:pt>
                <c:pt idx="4">
                  <c:v>5716911.09</c:v>
                </c:pt>
                <c:pt idx="5">
                  <c:v>4835663.43</c:v>
                </c:pt>
                <c:pt idx="6">
                  <c:v>4401416.73</c:v>
                </c:pt>
                <c:pt idx="7">
                  <c:v>3404336.18</c:v>
                </c:pt>
                <c:pt idx="8">
                  <c:v>2428847</c:v>
                </c:pt>
                <c:pt idx="9">
                  <c:v>1953561.68</c:v>
                </c:pt>
                <c:pt idx="10">
                  <c:v>1634916.53</c:v>
                </c:pt>
                <c:pt idx="11">
                  <c:v>574846.94</c:v>
                </c:pt>
                <c:pt idx="12">
                  <c:v>119500</c:v>
                </c:pt>
                <c:pt idx="13">
                  <c:v>39721</c:v>
                </c:pt>
              </c:numCache>
            </c:numRef>
          </c:val>
        </c:ser>
        <c:gapWidth val="150"/>
        <c:overlap val="0"/>
        <c:axId val="18361259"/>
        <c:axId val="42762025"/>
      </c:barChart>
      <c:catAx>
        <c:axId val="1836125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Insurer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762025"/>
        <c:crosses val="autoZero"/>
        <c:auto val="1"/>
        <c:lblAlgn val="ctr"/>
        <c:lblOffset val="100"/>
        <c:noMultiLvlLbl val="0"/>
      </c:catAx>
      <c:valAx>
        <c:axId val="42762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612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Mix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'📦 Revenue Category Mix'!$A$41:$F$41</c:f>
              <c:strCache>
                <c:ptCount val="6"/>
                <c:pt idx="0">
                  <c:v>Package</c:v>
                </c:pt>
                <c:pt idx="1">
                  <c:v>Ancillary</c:v>
                </c:pt>
                <c:pt idx="2">
                  <c:v>Videography</c:v>
                </c:pt>
                <c:pt idx="3">
                  <c:v>Svc Charges</c:v>
                </c:pt>
                <c:pt idx="4">
                  <c:v>Home Visit</c:v>
                </c:pt>
                <c:pt idx="5">
                  <c:v>Interpretation</c:v>
                </c:pt>
              </c:strCache>
            </c:strRef>
          </c:cat>
          <c:val>
            <c:numRef>
              <c:f>'📦 Revenue Category Mix'!$A$42</c:f>
              <c:numCache>
                <c:formatCode>\₹#,##0;"(₹"#,##0\);\-</c:formatCode>
                <c:ptCount val="1"/>
                <c:pt idx="0">
                  <c:v>164429946.85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'📦 Revenue Category Mix'!$A$41:$F$41</c:f>
              <c:strCache>
                <c:ptCount val="6"/>
                <c:pt idx="0">
                  <c:v>Package</c:v>
                </c:pt>
                <c:pt idx="1">
                  <c:v>Ancillary</c:v>
                </c:pt>
                <c:pt idx="2">
                  <c:v>Videography</c:v>
                </c:pt>
                <c:pt idx="3">
                  <c:v>Svc Charges</c:v>
                </c:pt>
                <c:pt idx="4">
                  <c:v>Home Visit</c:v>
                </c:pt>
                <c:pt idx="5">
                  <c:v>Interpretation</c:v>
                </c:pt>
              </c:strCache>
            </c:strRef>
          </c:cat>
          <c:val>
            <c:numRef>
              <c:f>'📦 Revenue Category Mix'!$B$42</c:f>
              <c:numCache>
                <c:formatCode>\₹#,##0;"(₹"#,##0\);\-</c:formatCode>
                <c:ptCount val="1"/>
                <c:pt idx="0">
                  <c:v>540964.48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'📦 Revenue Category Mix'!$A$41:$F$41</c:f>
              <c:strCache>
                <c:ptCount val="6"/>
                <c:pt idx="0">
                  <c:v>Package</c:v>
                </c:pt>
                <c:pt idx="1">
                  <c:v>Ancillary</c:v>
                </c:pt>
                <c:pt idx="2">
                  <c:v>Videography</c:v>
                </c:pt>
                <c:pt idx="3">
                  <c:v>Svc Charges</c:v>
                </c:pt>
                <c:pt idx="4">
                  <c:v>Home Visit</c:v>
                </c:pt>
                <c:pt idx="5">
                  <c:v>Interpretation</c:v>
                </c:pt>
              </c:strCache>
            </c:strRef>
          </c:cat>
          <c:val>
            <c:numRef>
              <c:f>'📦 Revenue Category Mix'!$C$42</c:f>
              <c:numCache>
                <c:formatCode>\₹#,##0;"(₹"#,##0\);\-</c:formatCode>
                <c:ptCount val="1"/>
                <c:pt idx="0">
                  <c:v>1172282</c:v>
                </c:pt>
              </c:numCache>
            </c:numRef>
          </c:val>
        </c:ser>
        <c:ser>
          <c:idx val="3"/>
          <c:order val="3"/>
          <c:spPr>
            <a:solidFill>
              <a:srgbClr val="8064A2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'📦 Revenue Category Mix'!$A$41:$F$41</c:f>
              <c:strCache>
                <c:ptCount val="6"/>
                <c:pt idx="0">
                  <c:v>Package</c:v>
                </c:pt>
                <c:pt idx="1">
                  <c:v>Ancillary</c:v>
                </c:pt>
                <c:pt idx="2">
                  <c:v>Videography</c:v>
                </c:pt>
                <c:pt idx="3">
                  <c:v>Svc Charges</c:v>
                </c:pt>
                <c:pt idx="4">
                  <c:v>Home Visit</c:v>
                </c:pt>
                <c:pt idx="5">
                  <c:v>Interpretation</c:v>
                </c:pt>
              </c:strCache>
            </c:strRef>
          </c:cat>
          <c:val>
            <c:numRef>
              <c:f>'📦 Revenue Category Mix'!$D$42</c:f>
              <c:numCache>
                <c:formatCode>\₹#,##0;"(₹"#,##0\);\-</c:formatCode>
                <c:ptCount val="1"/>
                <c:pt idx="0">
                  <c:v>7408530</c:v>
                </c:pt>
              </c:numCache>
            </c:numRef>
          </c:val>
        </c:ser>
        <c:ser>
          <c:idx val="4"/>
          <c:order val="4"/>
          <c:spPr>
            <a:solidFill>
              <a:srgbClr val="4BACC6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'📦 Revenue Category Mix'!$A$41:$F$41</c:f>
              <c:strCache>
                <c:ptCount val="6"/>
                <c:pt idx="0">
                  <c:v>Package</c:v>
                </c:pt>
                <c:pt idx="1">
                  <c:v>Ancillary</c:v>
                </c:pt>
                <c:pt idx="2">
                  <c:v>Videography</c:v>
                </c:pt>
                <c:pt idx="3">
                  <c:v>Svc Charges</c:v>
                </c:pt>
                <c:pt idx="4">
                  <c:v>Home Visit</c:v>
                </c:pt>
                <c:pt idx="5">
                  <c:v>Interpretation</c:v>
                </c:pt>
              </c:strCache>
            </c:strRef>
          </c:cat>
          <c:val>
            <c:numRef>
              <c:f>'📦 Revenue Category Mix'!$E$42</c:f>
              <c:numCache>
                <c:formatCode>\₹#,##0;"(₹"#,##0\);\-</c:formatCode>
                <c:ptCount val="1"/>
                <c:pt idx="0">
                  <c:v>7821108</c:v>
                </c:pt>
              </c:numCache>
            </c:numRef>
          </c:val>
        </c:ser>
        <c:ser>
          <c:idx val="5"/>
          <c:order val="5"/>
          <c:spPr>
            <a:solidFill>
              <a:srgbClr val="F79646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'📦 Revenue Category Mix'!$A$41:$F$41</c:f>
              <c:strCache>
                <c:ptCount val="6"/>
                <c:pt idx="0">
                  <c:v>Package</c:v>
                </c:pt>
                <c:pt idx="1">
                  <c:v>Ancillary</c:v>
                </c:pt>
                <c:pt idx="2">
                  <c:v>Videography</c:v>
                </c:pt>
                <c:pt idx="3">
                  <c:v>Svc Charges</c:v>
                </c:pt>
                <c:pt idx="4">
                  <c:v>Home Visit</c:v>
                </c:pt>
                <c:pt idx="5">
                  <c:v>Interpretation</c:v>
                </c:pt>
              </c:strCache>
            </c:strRef>
          </c:cat>
          <c:val>
            <c:numRef>
              <c:f>'📦 Revenue Category Mix'!$F$42</c:f>
              <c:numCache>
                <c:formatCode>\₹#,##0;"(₹"#,##0\);\-</c:formatCode>
                <c:ptCount val="1"/>
                <c:pt idx="0">
                  <c:v>1139420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FY 2025-26 vs FY 2024-25 Revenue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'📅 FY 2025-26 Analysis'!I4</c:f>
              <c:strCache>
                <c:ptCount val="1"/>
                <c:pt idx="0">
                  <c:v>FY 2025-26 Total</c:v>
                </c:pt>
              </c:strCache>
            </c:strRef>
          </c:tx>
          <c:spPr>
            <a:solidFill>
              <a:srgbClr val="2E86C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FY 2025-26 Analysis'!$A$5:$A$18</c:f>
              <c:strCache>
                <c:ptCount val="14"/>
                <c:pt idx="0">
                  <c:v>Bajaj Life</c:v>
                </c:pt>
                <c:pt idx="1">
                  <c:v>Aditya Birla Sun Life Insurance</c:v>
                </c:pt>
                <c:pt idx="2">
                  <c:v>ICICI Lombard</c:v>
                </c:pt>
                <c:pt idx="3">
                  <c:v>HDFC Life</c:v>
                </c:pt>
                <c:pt idx="4">
                  <c:v>Ageas Federal Life Insurance</c:v>
                </c:pt>
                <c:pt idx="5">
                  <c:v>Star Union Daichi Life Insurance</c:v>
                </c:pt>
                <c:pt idx="6">
                  <c:v>Canara HSBC Life Insurance</c:v>
                </c:pt>
                <c:pt idx="7">
                  <c:v>Pramerica Life Insurance</c:v>
                </c:pt>
                <c:pt idx="8">
                  <c:v>TATA AIG Health Insurance</c:v>
                </c:pt>
                <c:pt idx="9">
                  <c:v>SBI Life Insurance Company</c:v>
                </c:pt>
                <c:pt idx="10">
                  <c:v>TATA AIA Life Insurance Company</c:v>
                </c:pt>
                <c:pt idx="11">
                  <c:v>Acko Life Insurance</c:v>
                </c:pt>
                <c:pt idx="12">
                  <c:v>Acko Health Insurance</c:v>
                </c:pt>
                <c:pt idx="13">
                  <c:v>MD India LIC</c:v>
                </c:pt>
              </c:strCache>
            </c:strRef>
          </c:cat>
          <c:val>
            <c:numRef>
              <c:f>'📅 FY 2025-26 Analysis'!$I$5:$I$18</c:f>
              <c:numCache>
                <c:formatCode>\₹#,##0;"(₹"#,##0\);\-</c:formatCode>
                <c:ptCount val="14"/>
                <c:pt idx="0">
                  <c:v>27041796</c:v>
                </c:pt>
                <c:pt idx="1">
                  <c:v>22204810.28</c:v>
                </c:pt>
                <c:pt idx="2">
                  <c:v>10850892</c:v>
                </c:pt>
                <c:pt idx="3">
                  <c:v>3984735</c:v>
                </c:pt>
                <c:pt idx="4">
                  <c:v>1699449</c:v>
                </c:pt>
                <c:pt idx="5">
                  <c:v>1626333</c:v>
                </c:pt>
                <c:pt idx="6">
                  <c:v>1451420</c:v>
                </c:pt>
                <c:pt idx="7">
                  <c:v>148178.2</c:v>
                </c:pt>
                <c:pt idx="8">
                  <c:v>12305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'📅 FY 2025-26 Analysis'!J4</c:f>
              <c:strCache>
                <c:ptCount val="1"/>
                <c:pt idx="0">
                  <c:v>FY 2024-25 Total</c:v>
                </c:pt>
              </c:strCache>
            </c:strRef>
          </c:tx>
          <c:spPr>
            <a:solidFill>
              <a:srgbClr val="AED6F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FY 2025-26 Analysis'!$A$5:$A$18</c:f>
              <c:strCache>
                <c:ptCount val="14"/>
                <c:pt idx="0">
                  <c:v>Bajaj Life</c:v>
                </c:pt>
                <c:pt idx="1">
                  <c:v>Aditya Birla Sun Life Insurance</c:v>
                </c:pt>
                <c:pt idx="2">
                  <c:v>ICICI Lombard</c:v>
                </c:pt>
                <c:pt idx="3">
                  <c:v>HDFC Life</c:v>
                </c:pt>
                <c:pt idx="4">
                  <c:v>Ageas Federal Life Insurance</c:v>
                </c:pt>
                <c:pt idx="5">
                  <c:v>Star Union Daichi Life Insurance</c:v>
                </c:pt>
                <c:pt idx="6">
                  <c:v>Canara HSBC Life Insurance</c:v>
                </c:pt>
                <c:pt idx="7">
                  <c:v>Pramerica Life Insurance</c:v>
                </c:pt>
                <c:pt idx="8">
                  <c:v>TATA AIG Health Insurance</c:v>
                </c:pt>
                <c:pt idx="9">
                  <c:v>SBI Life Insurance Company</c:v>
                </c:pt>
                <c:pt idx="10">
                  <c:v>TATA AIA Life Insurance Company</c:v>
                </c:pt>
                <c:pt idx="11">
                  <c:v>Acko Life Insurance</c:v>
                </c:pt>
                <c:pt idx="12">
                  <c:v>Acko Health Insurance</c:v>
                </c:pt>
                <c:pt idx="13">
                  <c:v>MD India LIC</c:v>
                </c:pt>
              </c:strCache>
            </c:strRef>
          </c:cat>
          <c:val>
            <c:numRef>
              <c:f>'📅 FY 2025-26 Analysis'!$J$5:$J$18</c:f>
              <c:numCache>
                <c:formatCode>\₹#,##0;"(₹"#,##0\);\-</c:formatCode>
                <c:ptCount val="14"/>
                <c:pt idx="0">
                  <c:v>12932135</c:v>
                </c:pt>
                <c:pt idx="1">
                  <c:v>6053856</c:v>
                </c:pt>
                <c:pt idx="2">
                  <c:v>18976502</c:v>
                </c:pt>
                <c:pt idx="3">
                  <c:v>4270310</c:v>
                </c:pt>
                <c:pt idx="4">
                  <c:v>729398</c:v>
                </c:pt>
                <c:pt idx="5">
                  <c:v>236599</c:v>
                </c:pt>
                <c:pt idx="6">
                  <c:v>1828523</c:v>
                </c:pt>
                <c:pt idx="7">
                  <c:v>10998</c:v>
                </c:pt>
                <c:pt idx="8">
                  <c:v>27416</c:v>
                </c:pt>
                <c:pt idx="9">
                  <c:v>1198870</c:v>
                </c:pt>
                <c:pt idx="10">
                  <c:v>1288598.6</c:v>
                </c:pt>
                <c:pt idx="11">
                  <c:v>3398493.18</c:v>
                </c:pt>
                <c:pt idx="12">
                  <c:v>1634916.53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60762235"/>
        <c:axId val="15761156"/>
      </c:barChart>
      <c:catAx>
        <c:axId val="60762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761156"/>
        <c:crosses val="autoZero"/>
        <c:auto val="1"/>
        <c:lblAlgn val="ctr"/>
        <c:lblOffset val="100"/>
        <c:noMultiLvlLbl val="0"/>
      </c:catAx>
      <c:valAx>
        <c:axId val="15761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7622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Trend — Top 5 Insurers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Monthly Trend'!B21</c:f>
              <c:strCache>
                <c:ptCount val="1"/>
                <c:pt idx="0">
                  <c:v>ICICI Lombard</c:v>
                </c:pt>
              </c:strCache>
            </c:strRef>
          </c:tx>
          <c:spPr>
            <a:solidFill>
              <a:srgbClr val="2E86C1"/>
            </a:solidFill>
            <a:ln w="12600">
              <a:solidFill>
                <a:srgbClr val="2E86C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Trend'!$A$22:$A$39</c:f>
              <c:strCache>
                <c:ptCount val="18"/>
                <c:pt idx="0">
                  <c:v>Dec 2024</c:v>
                </c:pt>
                <c:pt idx="1">
                  <c:v>Jan 2025</c:v>
                </c:pt>
                <c:pt idx="2">
                  <c:v>Feb 2025</c:v>
                </c:pt>
                <c:pt idx="3">
                  <c:v>Mar 2025</c:v>
                </c:pt>
                <c:pt idx="4">
                  <c:v>Apr 2025</c:v>
                </c:pt>
                <c:pt idx="5">
                  <c:v>May 2025</c:v>
                </c:pt>
                <c:pt idx="6">
                  <c:v>Jun 2025</c:v>
                </c:pt>
                <c:pt idx="7">
                  <c:v>Jul 2025</c:v>
                </c:pt>
                <c:pt idx="8">
                  <c:v>Aug 2025</c:v>
                </c:pt>
                <c:pt idx="9">
                  <c:v>Sep 2025</c:v>
                </c:pt>
                <c:pt idx="10">
                  <c:v>Oct 2025</c:v>
                </c:pt>
                <c:pt idx="11">
                  <c:v>Nov 2025</c:v>
                </c:pt>
                <c:pt idx="12">
                  <c:v>Dec 2025</c:v>
                </c:pt>
                <c:pt idx="13">
                  <c:v>Jan 2026</c:v>
                </c:pt>
                <c:pt idx="14">
                  <c:v>Feb 2026</c:v>
                </c:pt>
                <c:pt idx="15">
                  <c:v>Mar 2026</c:v>
                </c:pt>
                <c:pt idx="16">
                  <c:v>Apr 2026</c:v>
                </c:pt>
                <c:pt idx="17">
                  <c:v>May 2026</c:v>
                </c:pt>
              </c:strCache>
            </c:strRef>
          </c:cat>
          <c:val>
            <c:numRef>
              <c:f>'📈 Monthly Trend'!$B$22:$B$39</c:f>
              <c:numCache>
                <c:formatCode>\₹#,##0;"(₹"#,##0\);\-</c:formatCode>
                <c:ptCount val="18"/>
                <c:pt idx="0">
                  <c:v>1579397</c:v>
                </c:pt>
                <c:pt idx="1">
                  <c:v>1469093</c:v>
                </c:pt>
                <c:pt idx="2">
                  <c:v>1219600</c:v>
                </c:pt>
                <c:pt idx="3">
                  <c:v>1470430</c:v>
                </c:pt>
                <c:pt idx="4">
                  <c:v>1082106</c:v>
                </c:pt>
                <c:pt idx="5">
                  <c:v>321435</c:v>
                </c:pt>
                <c:pt idx="6">
                  <c:v>629199</c:v>
                </c:pt>
                <c:pt idx="7">
                  <c:v>614755</c:v>
                </c:pt>
                <c:pt idx="8">
                  <c:v>494855</c:v>
                </c:pt>
                <c:pt idx="9">
                  <c:v>383350</c:v>
                </c:pt>
                <c:pt idx="10">
                  <c:v>209010</c:v>
                </c:pt>
                <c:pt idx="11">
                  <c:v>306541</c:v>
                </c:pt>
                <c:pt idx="12">
                  <c:v>466210</c:v>
                </c:pt>
                <c:pt idx="13">
                  <c:v>928316</c:v>
                </c:pt>
                <c:pt idx="14">
                  <c:v>1489280</c:v>
                </c:pt>
                <c:pt idx="15">
                  <c:v>1522270</c:v>
                </c:pt>
                <c:pt idx="16">
                  <c:v>1307400</c:v>
                </c:pt>
                <c:pt idx="17">
                  <c:v>1096165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'📈 Monthly Trend'!C21</c:f>
              <c:strCache>
                <c:ptCount val="1"/>
                <c:pt idx="0">
                  <c:v>Bajaj Life</c:v>
                </c:pt>
              </c:strCache>
            </c:strRef>
          </c:tx>
          <c:spPr>
            <a:solidFill>
              <a:srgbClr val="28B463"/>
            </a:solidFill>
            <a:ln w="12600">
              <a:solidFill>
                <a:srgbClr val="28B46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Trend'!$A$22:$A$39</c:f>
              <c:strCache>
                <c:ptCount val="18"/>
                <c:pt idx="0">
                  <c:v>Dec 2024</c:v>
                </c:pt>
                <c:pt idx="1">
                  <c:v>Jan 2025</c:v>
                </c:pt>
                <c:pt idx="2">
                  <c:v>Feb 2025</c:v>
                </c:pt>
                <c:pt idx="3">
                  <c:v>Mar 2025</c:v>
                </c:pt>
                <c:pt idx="4">
                  <c:v>Apr 2025</c:v>
                </c:pt>
                <c:pt idx="5">
                  <c:v>May 2025</c:v>
                </c:pt>
                <c:pt idx="6">
                  <c:v>Jun 2025</c:v>
                </c:pt>
                <c:pt idx="7">
                  <c:v>Jul 2025</c:v>
                </c:pt>
                <c:pt idx="8">
                  <c:v>Aug 2025</c:v>
                </c:pt>
                <c:pt idx="9">
                  <c:v>Sep 2025</c:v>
                </c:pt>
                <c:pt idx="10">
                  <c:v>Oct 2025</c:v>
                </c:pt>
                <c:pt idx="11">
                  <c:v>Nov 2025</c:v>
                </c:pt>
                <c:pt idx="12">
                  <c:v>Dec 2025</c:v>
                </c:pt>
                <c:pt idx="13">
                  <c:v>Jan 2026</c:v>
                </c:pt>
                <c:pt idx="14">
                  <c:v>Feb 2026</c:v>
                </c:pt>
                <c:pt idx="15">
                  <c:v>Mar 2026</c:v>
                </c:pt>
                <c:pt idx="16">
                  <c:v>Apr 2026</c:v>
                </c:pt>
                <c:pt idx="17">
                  <c:v>May 2026</c:v>
                </c:pt>
              </c:strCache>
            </c:strRef>
          </c:cat>
          <c:val>
            <c:numRef>
              <c:f>'📈 Monthly Trend'!$C$22:$C$39</c:f>
              <c:numCache>
                <c:formatCode>\₹#,##0;"(₹"#,##0\);\-</c:formatCode>
                <c:ptCount val="18"/>
                <c:pt idx="0">
                  <c:v>1181663</c:v>
                </c:pt>
                <c:pt idx="1">
                  <c:v>2192469</c:v>
                </c:pt>
                <c:pt idx="2">
                  <c:v>3374402</c:v>
                </c:pt>
                <c:pt idx="3">
                  <c:v>3630500</c:v>
                </c:pt>
                <c:pt idx="4">
                  <c:v>1588883</c:v>
                </c:pt>
                <c:pt idx="5">
                  <c:v>1852468</c:v>
                </c:pt>
                <c:pt idx="6">
                  <c:v>1254978</c:v>
                </c:pt>
                <c:pt idx="7">
                  <c:v>2113697</c:v>
                </c:pt>
                <c:pt idx="8">
                  <c:v>2457927</c:v>
                </c:pt>
                <c:pt idx="9">
                  <c:v>2186900</c:v>
                </c:pt>
                <c:pt idx="10">
                  <c:v>2002276</c:v>
                </c:pt>
                <c:pt idx="11">
                  <c:v>2378636</c:v>
                </c:pt>
                <c:pt idx="12">
                  <c:v>2335387</c:v>
                </c:pt>
                <c:pt idx="13">
                  <c:v>2045303.5</c:v>
                </c:pt>
                <c:pt idx="14">
                  <c:v>1742589.5</c:v>
                </c:pt>
                <c:pt idx="15">
                  <c:v>1935404</c:v>
                </c:pt>
                <c:pt idx="16">
                  <c:v>1640934</c:v>
                </c:pt>
                <c:pt idx="17">
                  <c:v>1506413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'📈 Monthly Trend'!D21</c:f>
              <c:strCache>
                <c:ptCount val="1"/>
                <c:pt idx="0">
                  <c:v>Aditya Birla Sun Life Ins</c:v>
                </c:pt>
              </c:strCache>
            </c:strRef>
          </c:tx>
          <c:spPr>
            <a:solidFill>
              <a:srgbClr val="E67E22"/>
            </a:solidFill>
            <a:ln w="1260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Trend'!$A$22:$A$39</c:f>
              <c:strCache>
                <c:ptCount val="18"/>
                <c:pt idx="0">
                  <c:v>Dec 2024</c:v>
                </c:pt>
                <c:pt idx="1">
                  <c:v>Jan 2025</c:v>
                </c:pt>
                <c:pt idx="2">
                  <c:v>Feb 2025</c:v>
                </c:pt>
                <c:pt idx="3">
                  <c:v>Mar 2025</c:v>
                </c:pt>
                <c:pt idx="4">
                  <c:v>Apr 2025</c:v>
                </c:pt>
                <c:pt idx="5">
                  <c:v>May 2025</c:v>
                </c:pt>
                <c:pt idx="6">
                  <c:v>Jun 2025</c:v>
                </c:pt>
                <c:pt idx="7">
                  <c:v>Jul 2025</c:v>
                </c:pt>
                <c:pt idx="8">
                  <c:v>Aug 2025</c:v>
                </c:pt>
                <c:pt idx="9">
                  <c:v>Sep 2025</c:v>
                </c:pt>
                <c:pt idx="10">
                  <c:v>Oct 2025</c:v>
                </c:pt>
                <c:pt idx="11">
                  <c:v>Nov 2025</c:v>
                </c:pt>
                <c:pt idx="12">
                  <c:v>Dec 2025</c:v>
                </c:pt>
                <c:pt idx="13">
                  <c:v>Jan 2026</c:v>
                </c:pt>
                <c:pt idx="14">
                  <c:v>Feb 2026</c:v>
                </c:pt>
                <c:pt idx="15">
                  <c:v>Mar 2026</c:v>
                </c:pt>
                <c:pt idx="16">
                  <c:v>Apr 2026</c:v>
                </c:pt>
                <c:pt idx="17">
                  <c:v>May 2026</c:v>
                </c:pt>
              </c:strCache>
            </c:strRef>
          </c:cat>
          <c:val>
            <c:numRef>
              <c:f>'📈 Monthly Trend'!$D$22:$D$39</c:f>
              <c:numCache>
                <c:formatCode>\₹#,##0;"(₹"#,##0\);\-</c:formatCode>
                <c:ptCount val="18"/>
                <c:pt idx="0">
                  <c:v>1389775</c:v>
                </c:pt>
                <c:pt idx="1">
                  <c:v>767989</c:v>
                </c:pt>
                <c:pt idx="2">
                  <c:v>718263</c:v>
                </c:pt>
                <c:pt idx="3">
                  <c:v>838007</c:v>
                </c:pt>
                <c:pt idx="4">
                  <c:v>535857</c:v>
                </c:pt>
                <c:pt idx="5">
                  <c:v>763314</c:v>
                </c:pt>
                <c:pt idx="6">
                  <c:v>877996</c:v>
                </c:pt>
                <c:pt idx="7">
                  <c:v>1087573</c:v>
                </c:pt>
                <c:pt idx="8">
                  <c:v>1589768</c:v>
                </c:pt>
                <c:pt idx="9">
                  <c:v>1347580.88</c:v>
                </c:pt>
                <c:pt idx="10">
                  <c:v>1074843.4</c:v>
                </c:pt>
                <c:pt idx="11">
                  <c:v>1866648</c:v>
                </c:pt>
                <c:pt idx="12">
                  <c:v>2849160</c:v>
                </c:pt>
                <c:pt idx="13">
                  <c:v>2507437</c:v>
                </c:pt>
                <c:pt idx="14">
                  <c:v>2210351</c:v>
                </c:pt>
                <c:pt idx="15">
                  <c:v>2514603</c:v>
                </c:pt>
                <c:pt idx="16">
                  <c:v>1617039</c:v>
                </c:pt>
                <c:pt idx="17">
                  <c:v>1362640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'📈 Monthly Trend'!E21</c:f>
              <c:strCache>
                <c:ptCount val="1"/>
                <c:pt idx="0">
                  <c:v>HDFC Life</c:v>
                </c:pt>
              </c:strCache>
            </c:strRef>
          </c:tx>
          <c:spPr>
            <a:solidFill>
              <a:srgbClr val="8E44AD"/>
            </a:solidFill>
            <a:ln w="12600">
              <a:solidFill>
                <a:srgbClr val="8E44A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Trend'!$A$22:$A$39</c:f>
              <c:strCache>
                <c:ptCount val="18"/>
                <c:pt idx="0">
                  <c:v>Dec 2024</c:v>
                </c:pt>
                <c:pt idx="1">
                  <c:v>Jan 2025</c:v>
                </c:pt>
                <c:pt idx="2">
                  <c:v>Feb 2025</c:v>
                </c:pt>
                <c:pt idx="3">
                  <c:v>Mar 2025</c:v>
                </c:pt>
                <c:pt idx="4">
                  <c:v>Apr 2025</c:v>
                </c:pt>
                <c:pt idx="5">
                  <c:v>May 2025</c:v>
                </c:pt>
                <c:pt idx="6">
                  <c:v>Jun 2025</c:v>
                </c:pt>
                <c:pt idx="7">
                  <c:v>Jul 2025</c:v>
                </c:pt>
                <c:pt idx="8">
                  <c:v>Aug 2025</c:v>
                </c:pt>
                <c:pt idx="9">
                  <c:v>Sep 2025</c:v>
                </c:pt>
                <c:pt idx="10">
                  <c:v>Oct 2025</c:v>
                </c:pt>
                <c:pt idx="11">
                  <c:v>Nov 2025</c:v>
                </c:pt>
                <c:pt idx="12">
                  <c:v>Dec 2025</c:v>
                </c:pt>
                <c:pt idx="13">
                  <c:v>Jan 2026</c:v>
                </c:pt>
                <c:pt idx="14">
                  <c:v>Feb 2026</c:v>
                </c:pt>
                <c:pt idx="15">
                  <c:v>Mar 2026</c:v>
                </c:pt>
                <c:pt idx="16">
                  <c:v>Apr 2026</c:v>
                </c:pt>
                <c:pt idx="17">
                  <c:v>May 2026</c:v>
                </c:pt>
              </c:strCache>
            </c:strRef>
          </c:cat>
          <c:val>
            <c:numRef>
              <c:f>'📈 Monthly Trend'!$E$22:$E$39</c:f>
              <c:numCache>
                <c:formatCode>\₹#,##0;"(₹"#,##0\);\-</c:formatCode>
                <c:ptCount val="18"/>
                <c:pt idx="0">
                  <c:v>436850</c:v>
                </c:pt>
                <c:pt idx="1">
                  <c:v>477885</c:v>
                </c:pt>
                <c:pt idx="2">
                  <c:v>336145</c:v>
                </c:pt>
                <c:pt idx="3">
                  <c:v>590430</c:v>
                </c:pt>
                <c:pt idx="4">
                  <c:v>573810</c:v>
                </c:pt>
                <c:pt idx="5">
                  <c:v>395065</c:v>
                </c:pt>
                <c:pt idx="6">
                  <c:v>467345</c:v>
                </c:pt>
                <c:pt idx="7">
                  <c:v>533450</c:v>
                </c:pt>
                <c:pt idx="8">
                  <c:v>420710</c:v>
                </c:pt>
                <c:pt idx="9">
                  <c:v>663570</c:v>
                </c:pt>
                <c:pt idx="10">
                  <c:v>605280</c:v>
                </c:pt>
                <c:pt idx="11">
                  <c:v>312895</c:v>
                </c:pt>
                <c:pt idx="12">
                  <c:v>12610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'📈 Monthly Trend'!F21</c:f>
              <c:strCache>
                <c:ptCount val="1"/>
                <c:pt idx="0">
                  <c:v>SBI Life Insurance Compan</c:v>
                </c:pt>
              </c:strCache>
            </c:strRef>
          </c:tx>
          <c:spPr>
            <a:solidFill>
              <a:srgbClr val="C0392B"/>
            </a:solidFill>
            <a:ln w="1260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Trend'!$A$22:$A$39</c:f>
              <c:strCache>
                <c:ptCount val="18"/>
                <c:pt idx="0">
                  <c:v>Dec 2024</c:v>
                </c:pt>
                <c:pt idx="1">
                  <c:v>Jan 2025</c:v>
                </c:pt>
                <c:pt idx="2">
                  <c:v>Feb 2025</c:v>
                </c:pt>
                <c:pt idx="3">
                  <c:v>Mar 2025</c:v>
                </c:pt>
                <c:pt idx="4">
                  <c:v>Apr 2025</c:v>
                </c:pt>
                <c:pt idx="5">
                  <c:v>May 2025</c:v>
                </c:pt>
                <c:pt idx="6">
                  <c:v>Jun 2025</c:v>
                </c:pt>
                <c:pt idx="7">
                  <c:v>Jul 2025</c:v>
                </c:pt>
                <c:pt idx="8">
                  <c:v>Aug 2025</c:v>
                </c:pt>
                <c:pt idx="9">
                  <c:v>Sep 2025</c:v>
                </c:pt>
                <c:pt idx="10">
                  <c:v>Oct 2025</c:v>
                </c:pt>
                <c:pt idx="11">
                  <c:v>Nov 2025</c:v>
                </c:pt>
                <c:pt idx="12">
                  <c:v>Dec 2025</c:v>
                </c:pt>
                <c:pt idx="13">
                  <c:v>Jan 2026</c:v>
                </c:pt>
                <c:pt idx="14">
                  <c:v>Feb 2026</c:v>
                </c:pt>
                <c:pt idx="15">
                  <c:v>Mar 2026</c:v>
                </c:pt>
                <c:pt idx="16">
                  <c:v>Apr 2026</c:v>
                </c:pt>
                <c:pt idx="17">
                  <c:v>May 2026</c:v>
                </c:pt>
              </c:strCache>
            </c:strRef>
          </c:cat>
          <c:val>
            <c:numRef>
              <c:f>'📈 Monthly Trend'!$F$22:$F$39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581921"/>
        <c:axId val="71090921"/>
      </c:lineChart>
      <c:catAx>
        <c:axId val="31581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090921"/>
        <c:crosses val="autoZero"/>
        <c:auto val="1"/>
        <c:lblAlgn val="ctr"/>
        <c:lblOffset val="100"/>
        <c:noMultiLvlLbl val="0"/>
      </c:catAx>
      <c:valAx>
        <c:axId val="71090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5819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7</xdr:col>
      <xdr:colOff>659520</xdr:colOff>
      <xdr:row>47</xdr:row>
      <xdr:rowOff>128520</xdr:rowOff>
    </xdr:to>
    <xdr:graphicFrame>
      <xdr:nvGraphicFramePr>
        <xdr:cNvPr id="1" name="Chart 1"/>
        <xdr:cNvGraphicFramePr/>
      </xdr:nvGraphicFramePr>
      <xdr:xfrm>
        <a:off x="0" y="60102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43</xdr:row>
      <xdr:rowOff>0</xdr:rowOff>
    </xdr:from>
    <xdr:to>
      <xdr:col>5</xdr:col>
      <xdr:colOff>629280</xdr:colOff>
      <xdr:row>65</xdr:row>
      <xdr:rowOff>128520</xdr:rowOff>
    </xdr:to>
    <xdr:graphicFrame>
      <xdr:nvGraphicFramePr>
        <xdr:cNvPr id="2" name="Chart 1"/>
        <xdr:cNvGraphicFramePr/>
      </xdr:nvGraphicFramePr>
      <xdr:xfrm>
        <a:off x="0" y="101916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7</xdr:col>
      <xdr:colOff>377640</xdr:colOff>
      <xdr:row>42</xdr:row>
      <xdr:rowOff>128520</xdr:rowOff>
    </xdr:to>
    <xdr:graphicFrame>
      <xdr:nvGraphicFramePr>
        <xdr:cNvPr id="3" name="Chart 1"/>
        <xdr:cNvGraphicFramePr/>
      </xdr:nvGraphicFramePr>
      <xdr:xfrm>
        <a:off x="0" y="48862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20</xdr:row>
      <xdr:rowOff>0</xdr:rowOff>
    </xdr:from>
    <xdr:to>
      <xdr:col>20</xdr:col>
      <xdr:colOff>196560</xdr:colOff>
      <xdr:row>46</xdr:row>
      <xdr:rowOff>174960</xdr:rowOff>
    </xdr:to>
    <xdr:graphicFrame>
      <xdr:nvGraphicFramePr>
        <xdr:cNvPr id="4" name="Chart 1"/>
        <xdr:cNvGraphicFramePr/>
      </xdr:nvGraphicFramePr>
      <xdr:xfrm>
        <a:off x="6484680" y="485784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9" min="5" style="0" width="14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7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n">
        <v>182444359.33</v>
      </c>
      <c r="B4" s="3"/>
      <c r="C4" s="3" t="n">
        <v>69019918.48</v>
      </c>
      <c r="D4" s="3"/>
      <c r="E4" s="3" t="n">
        <v>9378348.2</v>
      </c>
      <c r="F4" s="3"/>
      <c r="G4" s="4" t="n">
        <v>95774</v>
      </c>
      <c r="H4" s="4"/>
      <c r="I4" s="5" t="n">
        <v>9</v>
      </c>
      <c r="J4" s="5"/>
    </row>
    <row r="5" customFormat="false" ht="21.75" hidden="false" customHeight="true" outlineLevel="0" collapsed="false">
      <c r="A5" s="6" t="s">
        <v>2</v>
      </c>
      <c r="B5" s="6"/>
      <c r="C5" s="6" t="s">
        <v>3</v>
      </c>
      <c r="D5" s="6"/>
      <c r="E5" s="6" t="s">
        <v>4</v>
      </c>
      <c r="F5" s="6"/>
      <c r="G5" s="6" t="s">
        <v>5</v>
      </c>
      <c r="H5" s="6"/>
      <c r="I5" s="6" t="s">
        <v>6</v>
      </c>
      <c r="J5" s="6"/>
    </row>
    <row r="6" customFormat="false" ht="7.5" hidden="false" customHeight="true" outlineLevel="0" collapsed="false"/>
    <row r="8" customFormat="false" ht="19.5" hidden="false" customHeight="true" outlineLevel="0" collapsed="false">
      <c r="A8" s="7" t="s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30" hidden="false" customHeight="tru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  <c r="K9" s="8" t="s">
        <v>18</v>
      </c>
      <c r="L9" s="8" t="s">
        <v>19</v>
      </c>
      <c r="M9" s="8" t="s">
        <v>20</v>
      </c>
      <c r="N9" s="8" t="s">
        <v>21</v>
      </c>
    </row>
    <row r="10" customFormat="false" ht="18" hidden="false" customHeight="true" outlineLevel="0" collapsed="false">
      <c r="A10" s="9" t="n">
        <v>1</v>
      </c>
      <c r="B10" s="10" t="s">
        <v>22</v>
      </c>
      <c r="C10" s="11" t="n">
        <v>46743</v>
      </c>
      <c r="D10" s="12" t="n">
        <v>69548799.7400004</v>
      </c>
      <c r="E10" s="12" t="n">
        <v>5007</v>
      </c>
      <c r="F10" s="12" t="n">
        <v>0</v>
      </c>
      <c r="G10" s="12" t="n">
        <v>0</v>
      </c>
      <c r="H10" s="12" t="n">
        <v>0</v>
      </c>
      <c r="I10" s="12" t="n">
        <v>0</v>
      </c>
      <c r="J10" s="13" t="n">
        <v>69522627.7400004</v>
      </c>
      <c r="K10" s="14" t="n">
        <f aca="false">IF(J24&gt;0,J10/J24,0)</f>
        <v>0.381062083778922</v>
      </c>
      <c r="L10" s="12" t="n">
        <v>10850892</v>
      </c>
      <c r="M10" s="12" t="n">
        <v>2403565</v>
      </c>
      <c r="N10" s="15" t="n">
        <v>1</v>
      </c>
    </row>
    <row r="11" customFormat="false" ht="18" hidden="false" customHeight="true" outlineLevel="0" collapsed="false">
      <c r="A11" s="16" t="n">
        <v>2</v>
      </c>
      <c r="B11" s="17" t="s">
        <v>23</v>
      </c>
      <c r="C11" s="18" t="n">
        <v>20077</v>
      </c>
      <c r="D11" s="19" t="n">
        <v>33989576.38</v>
      </c>
      <c r="E11" s="19" t="n">
        <v>94352</v>
      </c>
      <c r="F11" s="19" t="n">
        <v>211700</v>
      </c>
      <c r="G11" s="19" t="n">
        <v>3007950</v>
      </c>
      <c r="H11" s="19" t="n">
        <v>2977510</v>
      </c>
      <c r="I11" s="19" t="n">
        <v>1139350</v>
      </c>
      <c r="J11" s="20" t="n">
        <v>41419082.38</v>
      </c>
      <c r="K11" s="21" t="n">
        <f aca="false">IF(J24&gt;0,J11/J24,0)</f>
        <v>0.227023090941838</v>
      </c>
      <c r="L11" s="19" t="n">
        <v>27041796</v>
      </c>
      <c r="M11" s="19" t="n">
        <v>3147347</v>
      </c>
      <c r="N11" s="22" t="n">
        <v>2</v>
      </c>
    </row>
    <row r="12" customFormat="false" ht="18" hidden="false" customHeight="true" outlineLevel="0" collapsed="false">
      <c r="A12" s="9" t="n">
        <v>3</v>
      </c>
      <c r="B12" s="10" t="s">
        <v>24</v>
      </c>
      <c r="C12" s="11" t="n">
        <v>13290</v>
      </c>
      <c r="D12" s="12" t="n">
        <v>25865004</v>
      </c>
      <c r="E12" s="12" t="n">
        <v>363426.28</v>
      </c>
      <c r="F12" s="12" t="n">
        <v>195000</v>
      </c>
      <c r="G12" s="12" t="n">
        <v>2121170</v>
      </c>
      <c r="H12" s="12" t="n">
        <v>1978328</v>
      </c>
      <c r="I12" s="12" t="n">
        <v>35</v>
      </c>
      <c r="J12" s="13" t="n">
        <v>30522841.28</v>
      </c>
      <c r="K12" s="14" t="n">
        <f aca="false">IF(J24&gt;0,J12/J24,0)</f>
        <v>0.167299451690864</v>
      </c>
      <c r="L12" s="12" t="n">
        <v>22204810.28</v>
      </c>
      <c r="M12" s="12" t="n">
        <v>2979679</v>
      </c>
      <c r="N12" s="15" t="n">
        <v>3</v>
      </c>
    </row>
    <row r="13" customFormat="false" ht="18" hidden="false" customHeight="true" outlineLevel="0" collapsed="false">
      <c r="A13" s="16" t="n">
        <v>4</v>
      </c>
      <c r="B13" s="23" t="s">
        <v>25</v>
      </c>
      <c r="C13" s="18" t="n">
        <v>3575</v>
      </c>
      <c r="D13" s="19" t="n">
        <v>14228632.35</v>
      </c>
      <c r="E13" s="19" t="n">
        <v>15500</v>
      </c>
      <c r="F13" s="19" t="n">
        <v>234770</v>
      </c>
      <c r="G13" s="19" t="n">
        <v>568070</v>
      </c>
      <c r="H13" s="19" t="n">
        <v>837060</v>
      </c>
      <c r="I13" s="19" t="n">
        <v>0</v>
      </c>
      <c r="J13" s="20" t="n">
        <v>15870087.35</v>
      </c>
      <c r="K13" s="21" t="n">
        <f aca="false">IF(J24&gt;0,J13/J24,0)</f>
        <v>0.0869859030352077</v>
      </c>
      <c r="L13" s="19" t="n">
        <v>3984735</v>
      </c>
      <c r="M13" s="19" t="n">
        <v>0</v>
      </c>
      <c r="N13" s="22" t="n">
        <v>4</v>
      </c>
    </row>
    <row r="14" customFormat="false" ht="18" hidden="false" customHeight="true" outlineLevel="0" collapsed="false">
      <c r="A14" s="9" t="n">
        <v>5</v>
      </c>
      <c r="B14" s="24" t="s">
        <v>26</v>
      </c>
      <c r="C14" s="11" t="n">
        <v>1662</v>
      </c>
      <c r="D14" s="12" t="n">
        <v>5088826.09</v>
      </c>
      <c r="E14" s="12" t="n">
        <v>0</v>
      </c>
      <c r="F14" s="12" t="n">
        <v>0</v>
      </c>
      <c r="G14" s="12" t="n">
        <v>287265</v>
      </c>
      <c r="H14" s="12" t="n">
        <v>340820</v>
      </c>
      <c r="I14" s="12" t="n">
        <v>0</v>
      </c>
      <c r="J14" s="13" t="n">
        <v>5716911.09</v>
      </c>
      <c r="K14" s="14" t="n">
        <f aca="false">IF(J24&gt;0,J14/J24,0)</f>
        <v>0.0313350936745565</v>
      </c>
      <c r="L14" s="12" t="n">
        <v>0</v>
      </c>
      <c r="M14" s="12" t="n">
        <v>0</v>
      </c>
      <c r="N14" s="15" t="n">
        <v>5</v>
      </c>
    </row>
    <row r="15" customFormat="false" ht="18" hidden="false" customHeight="true" outlineLevel="0" collapsed="false">
      <c r="A15" s="16" t="n">
        <v>6</v>
      </c>
      <c r="B15" s="23" t="s">
        <v>27</v>
      </c>
      <c r="C15" s="18" t="n">
        <v>2033</v>
      </c>
      <c r="D15" s="19" t="n">
        <v>3579286.43</v>
      </c>
      <c r="E15" s="19" t="n">
        <v>0</v>
      </c>
      <c r="F15" s="19" t="n">
        <v>511692</v>
      </c>
      <c r="G15" s="19" t="n">
        <v>355075</v>
      </c>
      <c r="H15" s="19" t="n">
        <v>389610</v>
      </c>
      <c r="I15" s="19" t="n">
        <v>0</v>
      </c>
      <c r="J15" s="20" t="n">
        <v>4835663.43</v>
      </c>
      <c r="K15" s="21" t="n">
        <f aca="false">IF(J24&gt;0,J15/J24,0)</f>
        <v>0.0265048667317436</v>
      </c>
      <c r="L15" s="19" t="n">
        <v>0</v>
      </c>
      <c r="M15" s="19" t="n">
        <v>0</v>
      </c>
      <c r="N15" s="22" t="n">
        <v>6</v>
      </c>
    </row>
    <row r="16" customFormat="false" ht="18" hidden="false" customHeight="true" outlineLevel="0" collapsed="false">
      <c r="A16" s="9" t="n">
        <v>7</v>
      </c>
      <c r="B16" s="24" t="s">
        <v>28</v>
      </c>
      <c r="C16" s="11" t="n">
        <v>2932</v>
      </c>
      <c r="D16" s="12" t="n">
        <v>3483519.73</v>
      </c>
      <c r="E16" s="12" t="n">
        <v>4827</v>
      </c>
      <c r="F16" s="12" t="n">
        <v>10500</v>
      </c>
      <c r="G16" s="12" t="n">
        <v>466400</v>
      </c>
      <c r="H16" s="12" t="n">
        <v>436170</v>
      </c>
      <c r="I16" s="12" t="n">
        <v>0</v>
      </c>
      <c r="J16" s="13" t="n">
        <v>4401416.73</v>
      </c>
      <c r="K16" s="14" t="n">
        <f aca="false">IF(J24&gt;0,J16/J24,0)</f>
        <v>0.0241247070951579</v>
      </c>
      <c r="L16" s="12" t="n">
        <v>1451420</v>
      </c>
      <c r="M16" s="12" t="n">
        <v>0</v>
      </c>
      <c r="N16" s="15" t="n">
        <v>7</v>
      </c>
    </row>
    <row r="17" customFormat="false" ht="18" hidden="false" customHeight="true" outlineLevel="0" collapsed="false">
      <c r="A17" s="16" t="n">
        <v>8</v>
      </c>
      <c r="B17" s="23" t="s">
        <v>29</v>
      </c>
      <c r="C17" s="18" t="n">
        <v>1812</v>
      </c>
      <c r="D17" s="19" t="n">
        <v>2799206.18</v>
      </c>
      <c r="E17" s="19" t="n">
        <v>8500</v>
      </c>
      <c r="F17" s="19" t="n">
        <v>0</v>
      </c>
      <c r="G17" s="19" t="n">
        <v>260670</v>
      </c>
      <c r="H17" s="19" t="n">
        <v>342960</v>
      </c>
      <c r="I17" s="19" t="n">
        <v>0</v>
      </c>
      <c r="J17" s="20" t="n">
        <v>3404336.18</v>
      </c>
      <c r="K17" s="21" t="n">
        <f aca="false">IF(J24&gt;0,J17/J24,0)</f>
        <v>0.0186595858183937</v>
      </c>
      <c r="L17" s="19" t="n">
        <v>0</v>
      </c>
      <c r="M17" s="19" t="n">
        <v>0</v>
      </c>
      <c r="N17" s="22" t="n">
        <v>8</v>
      </c>
    </row>
    <row r="18" customFormat="false" ht="18" hidden="false" customHeight="true" outlineLevel="0" collapsed="false">
      <c r="A18" s="9" t="n">
        <v>9</v>
      </c>
      <c r="B18" s="24" t="s">
        <v>30</v>
      </c>
      <c r="C18" s="11" t="n">
        <v>904</v>
      </c>
      <c r="D18" s="12" t="n">
        <v>2062798</v>
      </c>
      <c r="E18" s="12" t="n">
        <v>11339</v>
      </c>
      <c r="F18" s="12" t="n">
        <v>0</v>
      </c>
      <c r="G18" s="12" t="n">
        <v>148500</v>
      </c>
      <c r="H18" s="12" t="n">
        <v>206210</v>
      </c>
      <c r="I18" s="12" t="n">
        <v>0</v>
      </c>
      <c r="J18" s="13" t="n">
        <v>2428847</v>
      </c>
      <c r="K18" s="14" t="n">
        <f aca="false">IF(J24&gt;0,J18/J24,0)</f>
        <v>0.0133128094993979</v>
      </c>
      <c r="L18" s="12" t="n">
        <v>1699449</v>
      </c>
      <c r="M18" s="12" t="n">
        <v>382216</v>
      </c>
      <c r="N18" s="15" t="n">
        <v>9</v>
      </c>
    </row>
    <row r="19" customFormat="false" ht="18" hidden="false" customHeight="true" outlineLevel="0" collapsed="false">
      <c r="A19" s="16" t="n">
        <v>10</v>
      </c>
      <c r="B19" s="23" t="s">
        <v>31</v>
      </c>
      <c r="C19" s="18" t="n">
        <v>820</v>
      </c>
      <c r="D19" s="19" t="n">
        <v>1659491.68</v>
      </c>
      <c r="E19" s="19" t="n">
        <v>19095</v>
      </c>
      <c r="F19" s="19" t="n">
        <v>3500</v>
      </c>
      <c r="G19" s="19" t="n">
        <v>135090</v>
      </c>
      <c r="H19" s="19" t="n">
        <v>136350</v>
      </c>
      <c r="I19" s="19" t="n">
        <v>35</v>
      </c>
      <c r="J19" s="20" t="n">
        <v>1953561.68</v>
      </c>
      <c r="K19" s="21" t="n">
        <f aca="false">IF(J24&gt;0,J19/J24,0)</f>
        <v>0.010707712133026</v>
      </c>
      <c r="L19" s="19" t="n">
        <v>1626333</v>
      </c>
      <c r="M19" s="19" t="n">
        <v>344820</v>
      </c>
      <c r="N19" s="22" t="n">
        <v>10</v>
      </c>
    </row>
    <row r="20" customFormat="false" ht="18" hidden="false" customHeight="true" outlineLevel="0" collapsed="false">
      <c r="A20" s="9" t="n">
        <v>11</v>
      </c>
      <c r="B20" s="24" t="s">
        <v>32</v>
      </c>
      <c r="C20" s="11" t="n">
        <v>1099</v>
      </c>
      <c r="D20" s="12" t="n">
        <v>1518076.53</v>
      </c>
      <c r="E20" s="12" t="n">
        <v>13700</v>
      </c>
      <c r="F20" s="12" t="n">
        <v>0</v>
      </c>
      <c r="G20" s="12" t="n">
        <v>2240</v>
      </c>
      <c r="H20" s="12" t="n">
        <v>114600</v>
      </c>
      <c r="I20" s="12" t="n">
        <v>0</v>
      </c>
      <c r="J20" s="13" t="n">
        <v>1634916.53</v>
      </c>
      <c r="K20" s="14" t="n">
        <f aca="false">IF(J24&gt;0,J20/J24,0)</f>
        <v>0.00896117882736406</v>
      </c>
      <c r="L20" s="12" t="n">
        <v>0</v>
      </c>
      <c r="M20" s="12" t="n">
        <v>0</v>
      </c>
      <c r="N20" s="15" t="n">
        <v>11</v>
      </c>
    </row>
    <row r="21" customFormat="false" ht="18" hidden="false" customHeight="true" outlineLevel="0" collapsed="false">
      <c r="A21" s="16" t="n">
        <v>12</v>
      </c>
      <c r="B21" s="23" t="s">
        <v>33</v>
      </c>
      <c r="C21" s="18" t="n">
        <v>330</v>
      </c>
      <c r="D21" s="19" t="n">
        <v>447508.74</v>
      </c>
      <c r="E21" s="19" t="n">
        <v>5218.2</v>
      </c>
      <c r="F21" s="19" t="n">
        <v>5120</v>
      </c>
      <c r="G21" s="19" t="n">
        <v>56100</v>
      </c>
      <c r="H21" s="19" t="n">
        <v>61490</v>
      </c>
      <c r="I21" s="19" t="n">
        <v>0</v>
      </c>
      <c r="J21" s="20" t="n">
        <v>574846.94</v>
      </c>
      <c r="K21" s="21" t="n">
        <f aca="false">IF(J24&gt;0,J21/J24,0)</f>
        <v>0.0031508068657811</v>
      </c>
      <c r="L21" s="19" t="n">
        <v>148178.2</v>
      </c>
      <c r="M21" s="19" t="n">
        <v>120721.2</v>
      </c>
      <c r="N21" s="22" t="n">
        <v>12</v>
      </c>
    </row>
    <row r="22" customFormat="false" ht="18" hidden="false" customHeight="true" outlineLevel="0" collapsed="false">
      <c r="A22" s="9" t="n">
        <v>13</v>
      </c>
      <c r="B22" s="24" t="s">
        <v>34</v>
      </c>
      <c r="C22" s="11" t="n">
        <v>478</v>
      </c>
      <c r="D22" s="12" t="n">
        <v>119500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3" t="n">
        <v>119500</v>
      </c>
      <c r="K22" s="14" t="n">
        <f aca="false">IF(J24&gt;0,J22/J24,0)</f>
        <v>0.000654994215435576</v>
      </c>
      <c r="L22" s="12" t="n">
        <v>0</v>
      </c>
      <c r="M22" s="12" t="n">
        <v>0</v>
      </c>
      <c r="N22" s="15" t="n">
        <v>13</v>
      </c>
    </row>
    <row r="23" customFormat="false" ht="18" hidden="false" customHeight="true" outlineLevel="0" collapsed="false">
      <c r="A23" s="16" t="n">
        <v>14</v>
      </c>
      <c r="B23" s="23" t="s">
        <v>35</v>
      </c>
      <c r="C23" s="18" t="n">
        <v>19</v>
      </c>
      <c r="D23" s="19" t="n">
        <v>39721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20" t="n">
        <v>39721</v>
      </c>
      <c r="K23" s="21" t="n">
        <f aca="false">IF(J24&gt;0,J23/J24,0)</f>
        <v>0.000217715692312272</v>
      </c>
      <c r="L23" s="19" t="n">
        <v>12305</v>
      </c>
      <c r="M23" s="19" t="n">
        <v>0</v>
      </c>
      <c r="N23" s="22" t="n">
        <v>14</v>
      </c>
    </row>
    <row r="24" customFormat="false" ht="21.75" hidden="false" customHeight="true" outlineLevel="0" collapsed="false">
      <c r="A24" s="8"/>
      <c r="B24" s="25" t="s">
        <v>36</v>
      </c>
      <c r="C24" s="26" t="n">
        <v>95774</v>
      </c>
      <c r="D24" s="27" t="n">
        <v>164429946.85</v>
      </c>
      <c r="E24" s="27" t="n">
        <v>540964.48</v>
      </c>
      <c r="F24" s="27" t="n">
        <v>1172282</v>
      </c>
      <c r="G24" s="27" t="n">
        <v>7408530</v>
      </c>
      <c r="H24" s="27" t="n">
        <v>7821108</v>
      </c>
      <c r="I24" s="27" t="n">
        <v>1139420</v>
      </c>
      <c r="J24" s="27" t="n">
        <v>182444359.33</v>
      </c>
      <c r="K24" s="28" t="s">
        <v>37</v>
      </c>
      <c r="L24" s="27" t="n">
        <v>69019918.48</v>
      </c>
      <c r="M24" s="27" t="n">
        <v>9378348.2</v>
      </c>
      <c r="N24" s="29"/>
    </row>
  </sheetData>
  <mergeCells count="13">
    <mergeCell ref="A1:N1"/>
    <mergeCell ref="A2:N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8: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30" t="s">
        <v>38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7" t="s">
        <v>40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30" hidden="false" customHeight="true" outlineLevel="0" collapsed="false">
      <c r="A5" s="8" t="s">
        <v>9</v>
      </c>
      <c r="B5" s="8" t="s">
        <v>10</v>
      </c>
      <c r="C5" s="8" t="s">
        <v>41</v>
      </c>
      <c r="D5" s="8" t="s">
        <v>12</v>
      </c>
      <c r="E5" s="8" t="s">
        <v>13</v>
      </c>
      <c r="F5" s="8" t="s">
        <v>42</v>
      </c>
      <c r="G5" s="8" t="s">
        <v>15</v>
      </c>
      <c r="H5" s="8" t="s">
        <v>16</v>
      </c>
      <c r="I5" s="8" t="s">
        <v>43</v>
      </c>
      <c r="J5" s="8" t="s">
        <v>44</v>
      </c>
    </row>
    <row r="6" customFormat="false" ht="18" hidden="false" customHeight="true" outlineLevel="0" collapsed="false">
      <c r="A6" s="10" t="s">
        <v>22</v>
      </c>
      <c r="B6" s="11" t="n">
        <v>46743</v>
      </c>
      <c r="C6" s="12" t="n">
        <v>69548799.7400004</v>
      </c>
      <c r="D6" s="12" t="n">
        <v>5007</v>
      </c>
      <c r="E6" s="12" t="n">
        <v>0</v>
      </c>
      <c r="F6" s="12" t="n">
        <v>0</v>
      </c>
      <c r="G6" s="12" t="n">
        <v>0</v>
      </c>
      <c r="H6" s="12" t="n">
        <v>0</v>
      </c>
      <c r="I6" s="13" t="n">
        <v>69522627.7400004</v>
      </c>
      <c r="J6" s="12" t="n">
        <f aca="false">IF(B6&gt;0,I6/B6,"-")</f>
        <v>1487.33773484801</v>
      </c>
    </row>
    <row r="7" customFormat="false" ht="18" hidden="false" customHeight="true" outlineLevel="0" collapsed="false">
      <c r="A7" s="17" t="s">
        <v>23</v>
      </c>
      <c r="B7" s="18" t="n">
        <v>20077</v>
      </c>
      <c r="C7" s="19" t="n">
        <v>33989576.38</v>
      </c>
      <c r="D7" s="19" t="n">
        <v>94352</v>
      </c>
      <c r="E7" s="19" t="n">
        <v>211700</v>
      </c>
      <c r="F7" s="19" t="n">
        <v>3007950</v>
      </c>
      <c r="G7" s="19" t="n">
        <v>2977510</v>
      </c>
      <c r="H7" s="19" t="n">
        <v>1139350</v>
      </c>
      <c r="I7" s="20" t="n">
        <v>41419082.38</v>
      </c>
      <c r="J7" s="19" t="n">
        <f aca="false">IF(B7&gt;0,I7/B7,"-")</f>
        <v>2063.01152463017</v>
      </c>
    </row>
    <row r="8" customFormat="false" ht="18" hidden="false" customHeight="true" outlineLevel="0" collapsed="false">
      <c r="A8" s="10" t="s">
        <v>24</v>
      </c>
      <c r="B8" s="11" t="n">
        <v>13290</v>
      </c>
      <c r="C8" s="12" t="n">
        <v>25865004</v>
      </c>
      <c r="D8" s="12" t="n">
        <v>363426.28</v>
      </c>
      <c r="E8" s="12" t="n">
        <v>195000</v>
      </c>
      <c r="F8" s="12" t="n">
        <v>2121170</v>
      </c>
      <c r="G8" s="12" t="n">
        <v>1978328</v>
      </c>
      <c r="H8" s="12" t="n">
        <v>35</v>
      </c>
      <c r="I8" s="13" t="n">
        <v>30522841.28</v>
      </c>
      <c r="J8" s="12" t="n">
        <f aca="false">IF(B8&gt;0,I8/B8,"-")</f>
        <v>2296.67729721595</v>
      </c>
    </row>
    <row r="9" customFormat="false" ht="18" hidden="false" customHeight="true" outlineLevel="0" collapsed="false">
      <c r="A9" s="23" t="s">
        <v>25</v>
      </c>
      <c r="B9" s="18" t="n">
        <v>3575</v>
      </c>
      <c r="C9" s="19" t="n">
        <v>14228632.35</v>
      </c>
      <c r="D9" s="19" t="n">
        <v>15500</v>
      </c>
      <c r="E9" s="19" t="n">
        <v>234770</v>
      </c>
      <c r="F9" s="19" t="n">
        <v>568070</v>
      </c>
      <c r="G9" s="19" t="n">
        <v>837060</v>
      </c>
      <c r="H9" s="19" t="n">
        <v>0</v>
      </c>
      <c r="I9" s="20" t="n">
        <v>15870087.35</v>
      </c>
      <c r="J9" s="19" t="n">
        <f aca="false">IF(B9&gt;0,I9/B9,"-")</f>
        <v>4439.18527272727</v>
      </c>
    </row>
    <row r="10" customFormat="false" ht="18" hidden="false" customHeight="true" outlineLevel="0" collapsed="false">
      <c r="A10" s="24" t="s">
        <v>26</v>
      </c>
      <c r="B10" s="11" t="n">
        <v>1662</v>
      </c>
      <c r="C10" s="12" t="n">
        <v>5088826.09</v>
      </c>
      <c r="D10" s="12" t="n">
        <v>0</v>
      </c>
      <c r="E10" s="12" t="n">
        <v>0</v>
      </c>
      <c r="F10" s="12" t="n">
        <v>287265</v>
      </c>
      <c r="G10" s="12" t="n">
        <v>340820</v>
      </c>
      <c r="H10" s="12" t="n">
        <v>0</v>
      </c>
      <c r="I10" s="13" t="n">
        <v>5716911.09</v>
      </c>
      <c r="J10" s="12" t="n">
        <f aca="false">IF(B10&gt;0,I10/B10,"-")</f>
        <v>3439.77803249097</v>
      </c>
    </row>
    <row r="11" customFormat="false" ht="18" hidden="false" customHeight="true" outlineLevel="0" collapsed="false">
      <c r="A11" s="23" t="s">
        <v>27</v>
      </c>
      <c r="B11" s="18" t="n">
        <v>2033</v>
      </c>
      <c r="C11" s="19" t="n">
        <v>3579286.43</v>
      </c>
      <c r="D11" s="19" t="n">
        <v>0</v>
      </c>
      <c r="E11" s="19" t="n">
        <v>511692</v>
      </c>
      <c r="F11" s="19" t="n">
        <v>355075</v>
      </c>
      <c r="G11" s="19" t="n">
        <v>389610</v>
      </c>
      <c r="H11" s="19" t="n">
        <v>0</v>
      </c>
      <c r="I11" s="20" t="n">
        <v>4835663.43</v>
      </c>
      <c r="J11" s="19" t="n">
        <f aca="false">IF(B11&gt;0,I11/B11,"-")</f>
        <v>2378.58506148549</v>
      </c>
    </row>
    <row r="12" customFormat="false" ht="18" hidden="false" customHeight="true" outlineLevel="0" collapsed="false">
      <c r="A12" s="24" t="s">
        <v>28</v>
      </c>
      <c r="B12" s="11" t="n">
        <v>2932</v>
      </c>
      <c r="C12" s="12" t="n">
        <v>3483519.73</v>
      </c>
      <c r="D12" s="12" t="n">
        <v>4827</v>
      </c>
      <c r="E12" s="12" t="n">
        <v>10500</v>
      </c>
      <c r="F12" s="12" t="n">
        <v>466400</v>
      </c>
      <c r="G12" s="12" t="n">
        <v>436170</v>
      </c>
      <c r="H12" s="12" t="n">
        <v>0</v>
      </c>
      <c r="I12" s="13" t="n">
        <v>4401416.73</v>
      </c>
      <c r="J12" s="12" t="n">
        <f aca="false">IF(B12&gt;0,I12/B12,"-")</f>
        <v>1501.16532401091</v>
      </c>
    </row>
    <row r="13" customFormat="false" ht="18" hidden="false" customHeight="true" outlineLevel="0" collapsed="false">
      <c r="A13" s="23" t="s">
        <v>29</v>
      </c>
      <c r="B13" s="18" t="n">
        <v>1812</v>
      </c>
      <c r="C13" s="19" t="n">
        <v>2799206.18</v>
      </c>
      <c r="D13" s="19" t="n">
        <v>8500</v>
      </c>
      <c r="E13" s="19" t="n">
        <v>0</v>
      </c>
      <c r="F13" s="19" t="n">
        <v>260670</v>
      </c>
      <c r="G13" s="19" t="n">
        <v>342960</v>
      </c>
      <c r="H13" s="19" t="n">
        <v>0</v>
      </c>
      <c r="I13" s="20" t="n">
        <v>3404336.18</v>
      </c>
      <c r="J13" s="19" t="n">
        <f aca="false">IF(B13&gt;0,I13/B13,"-")</f>
        <v>1878.77272626931</v>
      </c>
    </row>
    <row r="14" customFormat="false" ht="18" hidden="false" customHeight="true" outlineLevel="0" collapsed="false">
      <c r="A14" s="24" t="s">
        <v>30</v>
      </c>
      <c r="B14" s="11" t="n">
        <v>904</v>
      </c>
      <c r="C14" s="12" t="n">
        <v>2062798</v>
      </c>
      <c r="D14" s="12" t="n">
        <v>11339</v>
      </c>
      <c r="E14" s="12" t="n">
        <v>0</v>
      </c>
      <c r="F14" s="12" t="n">
        <v>148500</v>
      </c>
      <c r="G14" s="12" t="n">
        <v>206210</v>
      </c>
      <c r="H14" s="12" t="n">
        <v>0</v>
      </c>
      <c r="I14" s="13" t="n">
        <v>2428847</v>
      </c>
      <c r="J14" s="12" t="n">
        <f aca="false">IF(B14&gt;0,I14/B14,"-")</f>
        <v>2686.77765486726</v>
      </c>
    </row>
    <row r="15" customFormat="false" ht="18" hidden="false" customHeight="true" outlineLevel="0" collapsed="false">
      <c r="A15" s="23" t="s">
        <v>31</v>
      </c>
      <c r="B15" s="18" t="n">
        <v>820</v>
      </c>
      <c r="C15" s="19" t="n">
        <v>1659491.68</v>
      </c>
      <c r="D15" s="19" t="n">
        <v>19095</v>
      </c>
      <c r="E15" s="19" t="n">
        <v>3500</v>
      </c>
      <c r="F15" s="19" t="n">
        <v>135090</v>
      </c>
      <c r="G15" s="19" t="n">
        <v>136350</v>
      </c>
      <c r="H15" s="19" t="n">
        <v>35</v>
      </c>
      <c r="I15" s="20" t="n">
        <v>1953561.68</v>
      </c>
      <c r="J15" s="19" t="n">
        <f aca="false">IF(B15&gt;0,I15/B15,"-")</f>
        <v>2382.39229268293</v>
      </c>
    </row>
    <row r="16" customFormat="false" ht="18" hidden="false" customHeight="true" outlineLevel="0" collapsed="false">
      <c r="A16" s="24" t="s">
        <v>32</v>
      </c>
      <c r="B16" s="11" t="n">
        <v>1099</v>
      </c>
      <c r="C16" s="12" t="n">
        <v>1518076.53</v>
      </c>
      <c r="D16" s="12" t="n">
        <v>13700</v>
      </c>
      <c r="E16" s="12" t="n">
        <v>0</v>
      </c>
      <c r="F16" s="12" t="n">
        <v>2240</v>
      </c>
      <c r="G16" s="12" t="n">
        <v>114600</v>
      </c>
      <c r="H16" s="12" t="n">
        <v>0</v>
      </c>
      <c r="I16" s="13" t="n">
        <v>1634916.53</v>
      </c>
      <c r="J16" s="12" t="n">
        <f aca="false">IF(B16&gt;0,I16/B16,"-")</f>
        <v>1487.64015468608</v>
      </c>
    </row>
    <row r="17" customFormat="false" ht="18" hidden="false" customHeight="true" outlineLevel="0" collapsed="false">
      <c r="A17" s="23" t="s">
        <v>33</v>
      </c>
      <c r="B17" s="18" t="n">
        <v>330</v>
      </c>
      <c r="C17" s="19" t="n">
        <v>447508.74</v>
      </c>
      <c r="D17" s="19" t="n">
        <v>5218.2</v>
      </c>
      <c r="E17" s="19" t="n">
        <v>5120</v>
      </c>
      <c r="F17" s="19" t="n">
        <v>56100</v>
      </c>
      <c r="G17" s="19" t="n">
        <v>61490</v>
      </c>
      <c r="H17" s="19" t="n">
        <v>0</v>
      </c>
      <c r="I17" s="20" t="n">
        <v>574846.94</v>
      </c>
      <c r="J17" s="19" t="n">
        <f aca="false">IF(B17&gt;0,I17/B17,"-")</f>
        <v>1741.96042424242</v>
      </c>
    </row>
    <row r="18" customFormat="false" ht="18" hidden="false" customHeight="true" outlineLevel="0" collapsed="false">
      <c r="A18" s="24" t="s">
        <v>34</v>
      </c>
      <c r="B18" s="11" t="n">
        <v>478</v>
      </c>
      <c r="C18" s="12" t="n">
        <v>119500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3" t="n">
        <v>119500</v>
      </c>
      <c r="J18" s="12" t="n">
        <f aca="false">IF(B18&gt;0,I18/B18,"-")</f>
        <v>250</v>
      </c>
    </row>
    <row r="19" customFormat="false" ht="18" hidden="false" customHeight="true" outlineLevel="0" collapsed="false">
      <c r="A19" s="23" t="s">
        <v>35</v>
      </c>
      <c r="B19" s="18" t="n">
        <v>19</v>
      </c>
      <c r="C19" s="19" t="n">
        <v>39721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20" t="n">
        <v>39721</v>
      </c>
      <c r="J19" s="19" t="n">
        <f aca="false">IF(B19&gt;0,I19/B19,"-")</f>
        <v>2090.57894736842</v>
      </c>
    </row>
    <row r="20" customFormat="false" ht="21.75" hidden="false" customHeight="true" outlineLevel="0" collapsed="false">
      <c r="A20" s="25" t="s">
        <v>45</v>
      </c>
      <c r="B20" s="26" t="n">
        <f aca="false">SUM(B6:B19)</f>
        <v>95774</v>
      </c>
      <c r="C20" s="27" t="n">
        <f aca="false">SUM(C6:C19)</f>
        <v>164429946.85</v>
      </c>
      <c r="D20" s="27" t="n">
        <f aca="false">SUM(D6:D19)</f>
        <v>540964.48</v>
      </c>
      <c r="E20" s="27" t="n">
        <f aca="false">SUM(E6:E19)</f>
        <v>1172282</v>
      </c>
      <c r="F20" s="27" t="n">
        <f aca="false">SUM(F6:F19)</f>
        <v>7408530</v>
      </c>
      <c r="G20" s="27" t="n">
        <f aca="false">SUM(G6:G19)</f>
        <v>7821108</v>
      </c>
      <c r="H20" s="27" t="n">
        <f aca="false">SUM(H6:H19)</f>
        <v>1139420</v>
      </c>
      <c r="I20" s="27" t="n">
        <f aca="false">SUM(I6:I19)</f>
        <v>182444359.33</v>
      </c>
      <c r="J20" s="27" t="n">
        <f aca="false">IF(B20&gt;0,I20/B20,0)</f>
        <v>1904.94663823167</v>
      </c>
    </row>
    <row r="22" customFormat="false" ht="19.5" hidden="false" customHeight="true" outlineLevel="0" collapsed="false">
      <c r="A22" s="7" t="s">
        <v>46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30" hidden="false" customHeight="true" outlineLevel="0" collapsed="false">
      <c r="A23" s="8" t="s">
        <v>9</v>
      </c>
      <c r="B23" s="8" t="s">
        <v>47</v>
      </c>
      <c r="C23" s="8" t="s">
        <v>48</v>
      </c>
      <c r="D23" s="8" t="s">
        <v>49</v>
      </c>
      <c r="E23" s="8" t="s">
        <v>50</v>
      </c>
      <c r="F23" s="8" t="s">
        <v>51</v>
      </c>
      <c r="G23" s="8" t="s">
        <v>52</v>
      </c>
      <c r="H23" s="8" t="s">
        <v>53</v>
      </c>
    </row>
    <row r="24" customFormat="false" ht="18" hidden="false" customHeight="true" outlineLevel="0" collapsed="false">
      <c r="A24" s="10" t="s">
        <v>22</v>
      </c>
      <c r="B24" s="14" t="n">
        <f aca="false">IF(I6&gt;0,C6/I6,0)</f>
        <v>1.00037645297439</v>
      </c>
      <c r="C24" s="14" t="n">
        <f aca="false">IF(I6&gt;0,D6/I6,0)</f>
        <v>7.20197173605851E-005</v>
      </c>
      <c r="D24" s="14" t="n">
        <f aca="false">IF(I6&gt;0,E6/I6,0)</f>
        <v>0</v>
      </c>
      <c r="E24" s="14" t="n">
        <f aca="false">IF(I6&gt;0,F6/I6,0)</f>
        <v>0</v>
      </c>
      <c r="F24" s="14" t="n">
        <f aca="false">IF(I6&gt;0,G6/I6,0)</f>
        <v>0</v>
      </c>
      <c r="G24" s="14" t="n">
        <f aca="false">IF(I6&gt;0,H6/I6,0)</f>
        <v>0</v>
      </c>
      <c r="H24" s="31" t="n">
        <f aca="false">1-B24</f>
        <v>-0.000376452974388153</v>
      </c>
    </row>
    <row r="25" customFormat="false" ht="18" hidden="false" customHeight="true" outlineLevel="0" collapsed="false">
      <c r="A25" s="17" t="s">
        <v>23</v>
      </c>
      <c r="B25" s="21" t="n">
        <f aca="false">IF(I7&gt;0,C7/I7,0)</f>
        <v>0.82062601165719</v>
      </c>
      <c r="C25" s="21" t="n">
        <f aca="false">IF(I7&gt;0,D7/I7,0)</f>
        <v>0.00227798383205031</v>
      </c>
      <c r="D25" s="21" t="n">
        <f aca="false">IF(I7&gt;0,E7/I7,0)</f>
        <v>0.0051111706932026</v>
      </c>
      <c r="E25" s="21" t="n">
        <f aca="false">IF(I7&gt;0,F7/I7,0)</f>
        <v>0.0726223235078826</v>
      </c>
      <c r="F25" s="21" t="n">
        <f aca="false">IF(I7&gt;0,G7/I7,0)</f>
        <v>0.0718873965551141</v>
      </c>
      <c r="G25" s="21" t="n">
        <f aca="false">IF(I7&gt;0,H7/I7,0)</f>
        <v>0.027507852287673</v>
      </c>
      <c r="H25" s="32" t="n">
        <f aca="false">1-B25</f>
        <v>0.17937398834281</v>
      </c>
    </row>
    <row r="26" customFormat="false" ht="18" hidden="false" customHeight="true" outlineLevel="0" collapsed="false">
      <c r="A26" s="10" t="s">
        <v>24</v>
      </c>
      <c r="B26" s="14" t="n">
        <f aca="false">IF(I8&gt;0,C8/I8,0)</f>
        <v>0.847398306164504</v>
      </c>
      <c r="C26" s="14" t="n">
        <f aca="false">IF(I8&gt;0,D8/I8,0)</f>
        <v>0.0119066988772809</v>
      </c>
      <c r="D26" s="14" t="n">
        <f aca="false">IF(I8&gt;0,E8/I8,0)</f>
        <v>0.00638865819243942</v>
      </c>
      <c r="E26" s="14" t="n">
        <f aca="false">IF(I8&gt;0,F8/I8,0)</f>
        <v>0.0694945133233678</v>
      </c>
      <c r="F26" s="14" t="n">
        <f aca="false">IF(I8&gt;0,G8/I8,0)</f>
        <v>0.0648146737668322</v>
      </c>
      <c r="G26" s="14" t="n">
        <f aca="false">IF(I8&gt;0,H8/I8,0)</f>
        <v>1.14668223966861E-006</v>
      </c>
      <c r="H26" s="31" t="n">
        <f aca="false">1-B26</f>
        <v>0.152601693835496</v>
      </c>
    </row>
    <row r="27" customFormat="false" ht="18" hidden="false" customHeight="true" outlineLevel="0" collapsed="false">
      <c r="A27" s="23" t="s">
        <v>25</v>
      </c>
      <c r="B27" s="21" t="n">
        <f aca="false">IF(I9&gt;0,C9/I9,0)</f>
        <v>0.896569252342521</v>
      </c>
      <c r="C27" s="21" t="n">
        <f aca="false">IF(I9&gt;0,D9/I9,0)</f>
        <v>0.000976680194517014</v>
      </c>
      <c r="D27" s="21" t="n">
        <f aca="false">IF(I9&gt;0,E9/I9,0)</f>
        <v>0.0147932393075329</v>
      </c>
      <c r="E27" s="21" t="n">
        <f aca="false">IF(I9&gt;0,F9/I9,0)</f>
        <v>0.0357950140709213</v>
      </c>
      <c r="F27" s="21" t="n">
        <f aca="false">IF(I9&gt;0,G9/I9,0)</f>
        <v>0.0527445112014459</v>
      </c>
      <c r="G27" s="21" t="n">
        <f aca="false">IF(I9&gt;0,H9/I9,0)</f>
        <v>0</v>
      </c>
      <c r="H27" s="32" t="n">
        <f aca="false">1-B27</f>
        <v>0.103430747657479</v>
      </c>
    </row>
    <row r="28" customFormat="false" ht="18" hidden="false" customHeight="true" outlineLevel="0" collapsed="false">
      <c r="A28" s="24" t="s">
        <v>26</v>
      </c>
      <c r="B28" s="14" t="n">
        <f aca="false">IF(I10&gt;0,C10/I10,0)</f>
        <v>0.890135601181791</v>
      </c>
      <c r="C28" s="14" t="n">
        <f aca="false">IF(I10&gt;0,D10/I10,0)</f>
        <v>0</v>
      </c>
      <c r="D28" s="14" t="n">
        <f aca="false">IF(I10&gt;0,E10/I10,0)</f>
        <v>0</v>
      </c>
      <c r="E28" s="14" t="n">
        <f aca="false">IF(I10&gt;0,F10/I10,0)</f>
        <v>0.0502482888884669</v>
      </c>
      <c r="F28" s="14" t="n">
        <f aca="false">IF(I10&gt;0,G10/I10,0)</f>
        <v>0.0596161099297418</v>
      </c>
      <c r="G28" s="14" t="n">
        <f aca="false">IF(I10&gt;0,H10/I10,0)</f>
        <v>0</v>
      </c>
      <c r="H28" s="31" t="n">
        <f aca="false">1-B28</f>
        <v>0.109864398818209</v>
      </c>
    </row>
    <row r="29" customFormat="false" ht="18" hidden="false" customHeight="true" outlineLevel="0" collapsed="false">
      <c r="A29" s="23" t="s">
        <v>27</v>
      </c>
      <c r="B29" s="21" t="n">
        <f aca="false">IF(I11&gt;0,C11/I11,0)</f>
        <v>0.740185184889926</v>
      </c>
      <c r="C29" s="21" t="n">
        <f aca="false">IF(I11&gt;0,D11/I11,0)</f>
        <v>0</v>
      </c>
      <c r="D29" s="21" t="n">
        <f aca="false">IF(I11&gt;0,E11/I11,0)</f>
        <v>0.105816297475443</v>
      </c>
      <c r="E29" s="21" t="n">
        <f aca="false">IF(I11&gt;0,F11/I11,0)</f>
        <v>0.0734283940849043</v>
      </c>
      <c r="F29" s="21" t="n">
        <f aca="false">IF(I11&gt;0,G11/I11,0)</f>
        <v>0.0805701235497277</v>
      </c>
      <c r="G29" s="21" t="n">
        <f aca="false">IF(I11&gt;0,H11/I11,0)</f>
        <v>0</v>
      </c>
      <c r="H29" s="32" t="n">
        <f aca="false">1-B29</f>
        <v>0.259814815110075</v>
      </c>
    </row>
    <row r="30" customFormat="false" ht="18" hidden="false" customHeight="true" outlineLevel="0" collapsed="false">
      <c r="A30" s="24" t="s">
        <v>28</v>
      </c>
      <c r="B30" s="14" t="n">
        <f aca="false">IF(I12&gt;0,C12/I12,0)</f>
        <v>0.79145419388634</v>
      </c>
      <c r="C30" s="14" t="n">
        <f aca="false">IF(I12&gt;0,D12/I12,0)</f>
        <v>0.0010966923370603</v>
      </c>
      <c r="D30" s="14" t="n">
        <f aca="false">IF(I12&gt;0,E12/I12,0)</f>
        <v>0.00238559551256125</v>
      </c>
      <c r="E30" s="14" t="n">
        <f aca="false">IF(I12&gt;0,F12/I12,0)</f>
        <v>0.105965880672244</v>
      </c>
      <c r="F30" s="14" t="n">
        <f aca="false">IF(I12&gt;0,G12/I12,0)</f>
        <v>0.0990976375917942</v>
      </c>
      <c r="G30" s="14" t="n">
        <f aca="false">IF(I12&gt;0,H12/I12,0)</f>
        <v>0</v>
      </c>
      <c r="H30" s="31" t="n">
        <f aca="false">1-B30</f>
        <v>0.20854580611366</v>
      </c>
    </row>
    <row r="31" customFormat="false" ht="18" hidden="false" customHeight="true" outlineLevel="0" collapsed="false">
      <c r="A31" s="23" t="s">
        <v>29</v>
      </c>
      <c r="B31" s="21" t="n">
        <f aca="false">IF(I13&gt;0,C13/I13,0)</f>
        <v>0.82224728463803</v>
      </c>
      <c r="C31" s="21" t="n">
        <f aca="false">IF(I13&gt;0,D13/I13,0)</f>
        <v>0.00249681569344894</v>
      </c>
      <c r="D31" s="21" t="n">
        <f aca="false">IF(I13&gt;0,E13/I13,0)</f>
        <v>0</v>
      </c>
      <c r="E31" s="21" t="n">
        <f aca="false">IF(I13&gt;0,F13/I13,0)</f>
        <v>0.0765699937425099</v>
      </c>
      <c r="F31" s="21" t="n">
        <f aca="false">IF(I13&gt;0,G13/I13,0)</f>
        <v>0.100742107085323</v>
      </c>
      <c r="G31" s="21" t="n">
        <f aca="false">IF(I13&gt;0,H13/I13,0)</f>
        <v>0</v>
      </c>
      <c r="H31" s="32" t="n">
        <f aca="false">1-B31</f>
        <v>0.17775271536197</v>
      </c>
    </row>
    <row r="32" customFormat="false" ht="18" hidden="false" customHeight="true" outlineLevel="0" collapsed="false">
      <c r="A32" s="24" t="s">
        <v>30</v>
      </c>
      <c r="B32" s="14" t="n">
        <f aca="false">IF(I14&gt;0,C14/I14,0)</f>
        <v>0.849291042210563</v>
      </c>
      <c r="C32" s="14" t="n">
        <f aca="false">IF(I14&gt;0,D14/I14,0)</f>
        <v>0.00466847026593277</v>
      </c>
      <c r="D32" s="14" t="n">
        <f aca="false">IF(I14&gt;0,E14/I14,0)</f>
        <v>0</v>
      </c>
      <c r="E32" s="14" t="n">
        <f aca="false">IF(I14&gt;0,F14/I14,0)</f>
        <v>0.06114012121801</v>
      </c>
      <c r="F32" s="14" t="n">
        <f aca="false">IF(I14&gt;0,G14/I14,0)</f>
        <v>0.0849003663054939</v>
      </c>
      <c r="G32" s="14" t="n">
        <f aca="false">IF(I14&gt;0,H14/I14,0)</f>
        <v>0</v>
      </c>
      <c r="H32" s="31" t="n">
        <f aca="false">1-B32</f>
        <v>0.150708957789437</v>
      </c>
    </row>
    <row r="33" customFormat="false" ht="18" hidden="false" customHeight="true" outlineLevel="0" collapsed="false">
      <c r="A33" s="23" t="s">
        <v>31</v>
      </c>
      <c r="B33" s="21" t="n">
        <f aca="false">IF(I15&gt;0,C15/I15,0)</f>
        <v>0.849469815562721</v>
      </c>
      <c r="C33" s="21" t="n">
        <f aca="false">IF(I15&gt;0,D15/I15,0)</f>
        <v>0.00977445462587084</v>
      </c>
      <c r="D33" s="21" t="n">
        <f aca="false">IF(I15&gt;0,E15/I15,0)</f>
        <v>0.00179159943391191</v>
      </c>
      <c r="E33" s="21" t="n">
        <f aca="false">IF(I15&gt;0,F15/I15,0)</f>
        <v>0.0691506192934743</v>
      </c>
      <c r="F33" s="21" t="n">
        <f aca="false">IF(I15&gt;0,G15/I15,0)</f>
        <v>0.0697955950896826</v>
      </c>
      <c r="G33" s="21" t="n">
        <f aca="false">IF(I15&gt;0,H15/I15,0)</f>
        <v>1.79159943391191E-005</v>
      </c>
      <c r="H33" s="32" t="n">
        <f aca="false">1-B33</f>
        <v>0.150530184437279</v>
      </c>
    </row>
    <row r="34" customFormat="false" ht="18" hidden="false" customHeight="true" outlineLevel="0" collapsed="false">
      <c r="A34" s="24" t="s">
        <v>32</v>
      </c>
      <c r="B34" s="14" t="n">
        <f aca="false">IF(I16&gt;0,C16/I16,0)</f>
        <v>0.928534577847837</v>
      </c>
      <c r="C34" s="14" t="n">
        <f aca="false">IF(I16&gt;0,D16/I16,0)</f>
        <v>0.00837963268987194</v>
      </c>
      <c r="D34" s="14" t="n">
        <f aca="false">IF(I16&gt;0,E16/I16,0)</f>
        <v>0</v>
      </c>
      <c r="E34" s="14" t="n">
        <f aca="false">IF(I16&gt;0,F16/I16,0)</f>
        <v>0.00137010052739512</v>
      </c>
      <c r="F34" s="14" t="n">
        <f aca="false">IF(I16&gt;0,G16/I16,0)</f>
        <v>0.0700953216247682</v>
      </c>
      <c r="G34" s="14" t="n">
        <f aca="false">IF(I16&gt;0,H16/I16,0)</f>
        <v>0</v>
      </c>
      <c r="H34" s="31" t="n">
        <f aca="false">1-B34</f>
        <v>0.0714654221521633</v>
      </c>
    </row>
    <row r="35" customFormat="false" ht="18" hidden="false" customHeight="true" outlineLevel="0" collapsed="false">
      <c r="A35" s="23" t="s">
        <v>33</v>
      </c>
      <c r="B35" s="21" t="n">
        <f aca="false">IF(I17&gt;0,C17/I17,0)</f>
        <v>0.778483295048939</v>
      </c>
      <c r="C35" s="21" t="n">
        <f aca="false">IF(I17&gt;0,D17/I17,0)</f>
        <v>0.00907754679880526</v>
      </c>
      <c r="D35" s="21" t="n">
        <f aca="false">IF(I17&gt;0,E17/I17,0)</f>
        <v>0.00890671871715973</v>
      </c>
      <c r="E35" s="21" t="n">
        <f aca="false">IF(I17&gt;0,F17/I17,0)</f>
        <v>0.0975911953188791</v>
      </c>
      <c r="F35" s="21" t="n">
        <f aca="false">IF(I17&gt;0,G17/I17,0)</f>
        <v>0.106967604280889</v>
      </c>
      <c r="G35" s="21" t="n">
        <f aca="false">IF(I17&gt;0,H17/I17,0)</f>
        <v>0</v>
      </c>
      <c r="H35" s="32" t="n">
        <f aca="false">1-B35</f>
        <v>0.221516704951061</v>
      </c>
    </row>
    <row r="36" customFormat="false" ht="18" hidden="false" customHeight="true" outlineLevel="0" collapsed="false">
      <c r="A36" s="24" t="s">
        <v>34</v>
      </c>
      <c r="B36" s="14" t="n">
        <f aca="false">IF(I18&gt;0,C18/I18,0)</f>
        <v>1</v>
      </c>
      <c r="C36" s="14" t="n">
        <f aca="false">IF(I18&gt;0,D18/I18,0)</f>
        <v>0</v>
      </c>
      <c r="D36" s="14" t="n">
        <f aca="false">IF(I18&gt;0,E18/I18,0)</f>
        <v>0</v>
      </c>
      <c r="E36" s="14" t="n">
        <f aca="false">IF(I18&gt;0,F18/I18,0)</f>
        <v>0</v>
      </c>
      <c r="F36" s="14" t="n">
        <f aca="false">IF(I18&gt;0,G18/I18,0)</f>
        <v>0</v>
      </c>
      <c r="G36" s="14" t="n">
        <f aca="false">IF(I18&gt;0,H18/I18,0)</f>
        <v>0</v>
      </c>
      <c r="H36" s="31" t="n">
        <f aca="false">1-B36</f>
        <v>0</v>
      </c>
    </row>
    <row r="37" customFormat="false" ht="18" hidden="false" customHeight="true" outlineLevel="0" collapsed="false">
      <c r="A37" s="23" t="s">
        <v>35</v>
      </c>
      <c r="B37" s="21" t="n">
        <f aca="false">IF(I19&gt;0,C19/I19,0)</f>
        <v>1</v>
      </c>
      <c r="C37" s="21" t="n">
        <f aca="false">IF(I19&gt;0,D19/I19,0)</f>
        <v>0</v>
      </c>
      <c r="D37" s="21" t="n">
        <f aca="false">IF(I19&gt;0,E19/I19,0)</f>
        <v>0</v>
      </c>
      <c r="E37" s="21" t="n">
        <f aca="false">IF(I19&gt;0,F19/I19,0)</f>
        <v>0</v>
      </c>
      <c r="F37" s="21" t="n">
        <f aca="false">IF(I19&gt;0,G19/I19,0)</f>
        <v>0</v>
      </c>
      <c r="G37" s="21" t="n">
        <f aca="false">IF(I19&gt;0,H19/I19,0)</f>
        <v>0</v>
      </c>
      <c r="H37" s="32" t="n">
        <f aca="false">1-B37</f>
        <v>0</v>
      </c>
    </row>
    <row r="38" customFormat="false" ht="21.75" hidden="false" customHeight="true" outlineLevel="0" collapsed="false">
      <c r="A38" s="33" t="s">
        <v>54</v>
      </c>
      <c r="B38" s="34" t="n">
        <f aca="false">IF(I20&gt;0,C20/I20,0)</f>
        <v>0.901260786871377</v>
      </c>
      <c r="C38" s="34" t="n">
        <f aca="false">IF(I20&gt;0,D20/I20,0)</f>
        <v>0.00296509293017669</v>
      </c>
      <c r="D38" s="34" t="n">
        <f aca="false">IF(I20&gt;0,E20/I20,0)</f>
        <v>0.00642542199882216</v>
      </c>
      <c r="E38" s="34" t="n">
        <f aca="false">IF(I20&gt;0,F20/I20,0)</f>
        <v>0.0406070652291291</v>
      </c>
      <c r="F38" s="34" t="n">
        <f aca="false">IF(I20&gt;0,G20/I20,0)</f>
        <v>0.0428684560526938</v>
      </c>
      <c r="G38" s="34" t="n">
        <f aca="false">IF(I20&gt;0,H20/I20,0)</f>
        <v>0.00624530133013895</v>
      </c>
      <c r="H38" s="34" t="n">
        <f aca="false">1-B38</f>
        <v>0.098739213128623</v>
      </c>
    </row>
    <row r="40" customFormat="false" ht="19.5" hidden="false" customHeight="true" outlineLevel="0" collapsed="false">
      <c r="A40" s="7" t="s">
        <v>55</v>
      </c>
      <c r="B40" s="7"/>
      <c r="C40" s="7"/>
      <c r="D40" s="7"/>
      <c r="E40" s="7"/>
      <c r="F40" s="7"/>
      <c r="G40" s="7"/>
      <c r="H40" s="7"/>
    </row>
    <row r="41" customFormat="false" ht="15" hidden="false" customHeight="false" outlineLevel="0" collapsed="false">
      <c r="A41" s="0" t="s">
        <v>41</v>
      </c>
      <c r="B41" s="0" t="s">
        <v>12</v>
      </c>
      <c r="C41" s="0" t="s">
        <v>13</v>
      </c>
      <c r="D41" s="0" t="s">
        <v>42</v>
      </c>
      <c r="E41" s="0" t="s">
        <v>15</v>
      </c>
      <c r="F41" s="0" t="s">
        <v>16</v>
      </c>
    </row>
    <row r="42" customFormat="false" ht="15" hidden="false" customHeight="false" outlineLevel="0" collapsed="false">
      <c r="A42" s="35" t="n">
        <v>164429946.85</v>
      </c>
      <c r="B42" s="35" t="n">
        <v>540964.48</v>
      </c>
      <c r="C42" s="35" t="n">
        <v>1172282</v>
      </c>
      <c r="D42" s="35" t="n">
        <v>7408530</v>
      </c>
      <c r="E42" s="35" t="n">
        <v>7821108</v>
      </c>
      <c r="F42" s="35" t="n">
        <v>1139420</v>
      </c>
    </row>
  </sheetData>
  <mergeCells count="5">
    <mergeCell ref="A1:K1"/>
    <mergeCell ref="A2:K2"/>
    <mergeCell ref="A4:K4"/>
    <mergeCell ref="A22:K22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30" t="s">
        <v>56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3" customFormat="false" ht="19.5" hidden="false" customHeight="true" outlineLevel="0" collapsed="false">
      <c r="A3" s="7" t="s">
        <v>57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customFormat="false" ht="30" hidden="false" customHeight="true" outlineLevel="0" collapsed="false">
      <c r="A4" s="8" t="s">
        <v>9</v>
      </c>
      <c r="B4" s="8" t="s">
        <v>58</v>
      </c>
      <c r="C4" s="8" t="s">
        <v>41</v>
      </c>
      <c r="D4" s="8" t="s">
        <v>12</v>
      </c>
      <c r="E4" s="8" t="s">
        <v>13</v>
      </c>
      <c r="F4" s="8" t="s">
        <v>42</v>
      </c>
      <c r="G4" s="8" t="s">
        <v>15</v>
      </c>
      <c r="H4" s="8" t="s">
        <v>16</v>
      </c>
      <c r="I4" s="8" t="s">
        <v>59</v>
      </c>
      <c r="J4" s="8" t="s">
        <v>60</v>
      </c>
      <c r="K4" s="8" t="s">
        <v>61</v>
      </c>
    </row>
    <row r="5" customFormat="false" ht="18" hidden="false" customHeight="true" outlineLevel="0" collapsed="false">
      <c r="A5" s="10" t="s">
        <v>23</v>
      </c>
      <c r="B5" s="11" t="n">
        <v>12845</v>
      </c>
      <c r="C5" s="12" t="n">
        <v>22195158</v>
      </c>
      <c r="D5" s="12" t="n">
        <v>90703</v>
      </c>
      <c r="E5" s="12" t="n">
        <v>50400</v>
      </c>
      <c r="F5" s="12" t="n">
        <v>1926750</v>
      </c>
      <c r="G5" s="12" t="n">
        <v>1922075</v>
      </c>
      <c r="H5" s="12" t="n">
        <v>856710</v>
      </c>
      <c r="I5" s="13" t="n">
        <v>27041796</v>
      </c>
      <c r="J5" s="12" t="n">
        <v>12932135</v>
      </c>
      <c r="K5" s="36" t="n">
        <f aca="false">IF(J5&gt;0,(I5-J5)/J5,"-")</f>
        <v>1.091054261342</v>
      </c>
    </row>
    <row r="6" customFormat="false" ht="18" hidden="false" customHeight="true" outlineLevel="0" collapsed="false">
      <c r="A6" s="17" t="s">
        <v>24</v>
      </c>
      <c r="B6" s="18" t="n">
        <v>10052</v>
      </c>
      <c r="C6" s="19" t="n">
        <v>18903256</v>
      </c>
      <c r="D6" s="19" t="n">
        <v>356717.28</v>
      </c>
      <c r="E6" s="19" t="n">
        <v>24800</v>
      </c>
      <c r="F6" s="19" t="n">
        <v>1603890</v>
      </c>
      <c r="G6" s="19" t="n">
        <v>1316112</v>
      </c>
      <c r="H6" s="19" t="n">
        <v>35</v>
      </c>
      <c r="I6" s="20" t="n">
        <v>22204810.28</v>
      </c>
      <c r="J6" s="19" t="n">
        <v>6053856</v>
      </c>
      <c r="K6" s="36" t="n">
        <f aca="false">IF(J6&gt;0,(I6-J6)/J6,"-")</f>
        <v>2.66787883292896</v>
      </c>
    </row>
    <row r="7" customFormat="false" ht="18" hidden="false" customHeight="true" outlineLevel="0" collapsed="false">
      <c r="A7" s="10" t="s">
        <v>22</v>
      </c>
      <c r="B7" s="11" t="n">
        <v>5013</v>
      </c>
      <c r="C7" s="12" t="n">
        <v>10845885</v>
      </c>
      <c r="D7" s="12" t="n">
        <v>5007</v>
      </c>
      <c r="E7" s="12" t="n">
        <v>0</v>
      </c>
      <c r="F7" s="12" t="n">
        <v>0</v>
      </c>
      <c r="G7" s="12" t="n">
        <v>0</v>
      </c>
      <c r="H7" s="12" t="n">
        <v>0</v>
      </c>
      <c r="I7" s="13" t="n">
        <v>10850892</v>
      </c>
      <c r="J7" s="12" t="n">
        <v>18976502</v>
      </c>
      <c r="K7" s="37" t="n">
        <f aca="false">IF(J7&gt;0,(I7-J7)/J7,"-")</f>
        <v>-0.428193246574105</v>
      </c>
    </row>
    <row r="8" customFormat="false" ht="18" hidden="false" customHeight="true" outlineLevel="0" collapsed="false">
      <c r="A8" s="17" t="s">
        <v>25</v>
      </c>
      <c r="B8" s="18" t="n">
        <v>947</v>
      </c>
      <c r="C8" s="19" t="n">
        <v>3600125</v>
      </c>
      <c r="D8" s="19" t="n">
        <v>15500</v>
      </c>
      <c r="E8" s="19" t="n">
        <v>0</v>
      </c>
      <c r="F8" s="19" t="n">
        <v>151520</v>
      </c>
      <c r="G8" s="19" t="n">
        <v>217590</v>
      </c>
      <c r="H8" s="19" t="n">
        <v>0</v>
      </c>
      <c r="I8" s="20" t="n">
        <v>3984735</v>
      </c>
      <c r="J8" s="19" t="n">
        <v>4270310</v>
      </c>
      <c r="K8" s="37" t="n">
        <f aca="false">IF(J8&gt;0,(I8-J8)/J8,"-")</f>
        <v>-0.066874536040709</v>
      </c>
    </row>
    <row r="9" customFormat="false" ht="18" hidden="false" customHeight="true" outlineLevel="0" collapsed="false">
      <c r="A9" s="10" t="s">
        <v>30</v>
      </c>
      <c r="B9" s="11" t="n">
        <v>654</v>
      </c>
      <c r="C9" s="12" t="n">
        <v>1430960</v>
      </c>
      <c r="D9" s="12" t="n">
        <v>11339</v>
      </c>
      <c r="E9" s="12" t="n">
        <v>0</v>
      </c>
      <c r="F9" s="12" t="n">
        <v>107910</v>
      </c>
      <c r="G9" s="12" t="n">
        <v>149240</v>
      </c>
      <c r="H9" s="12" t="n">
        <v>0</v>
      </c>
      <c r="I9" s="13" t="n">
        <v>1699449</v>
      </c>
      <c r="J9" s="12" t="n">
        <v>729398</v>
      </c>
      <c r="K9" s="36" t="n">
        <f aca="false">IF(J9&gt;0,(I9-J9)/J9,"-")</f>
        <v>1.3299337261687</v>
      </c>
    </row>
    <row r="10" customFormat="false" ht="18" hidden="false" customHeight="true" outlineLevel="0" collapsed="false">
      <c r="A10" s="17" t="s">
        <v>31</v>
      </c>
      <c r="B10" s="18" t="n">
        <v>682</v>
      </c>
      <c r="C10" s="19" t="n">
        <v>1381648</v>
      </c>
      <c r="D10" s="19" t="n">
        <v>19095</v>
      </c>
      <c r="E10" s="19" t="n">
        <v>1000</v>
      </c>
      <c r="F10" s="19" t="n">
        <v>112415</v>
      </c>
      <c r="G10" s="19" t="n">
        <v>112140</v>
      </c>
      <c r="H10" s="19" t="n">
        <v>35</v>
      </c>
      <c r="I10" s="20" t="n">
        <v>1626333</v>
      </c>
      <c r="J10" s="19" t="n">
        <v>236599</v>
      </c>
      <c r="K10" s="36" t="n">
        <f aca="false">IF(J10&gt;0,(I10-J10)/J10,"-")</f>
        <v>5.87379490192266</v>
      </c>
    </row>
    <row r="11" customFormat="false" ht="18" hidden="false" customHeight="true" outlineLevel="0" collapsed="false">
      <c r="A11" s="10" t="s">
        <v>28</v>
      </c>
      <c r="B11" s="11" t="n">
        <v>863</v>
      </c>
      <c r="C11" s="12" t="n">
        <v>1217384</v>
      </c>
      <c r="D11" s="12" t="n">
        <v>4076</v>
      </c>
      <c r="E11" s="12" t="n">
        <v>500</v>
      </c>
      <c r="F11" s="12" t="n">
        <v>138080</v>
      </c>
      <c r="G11" s="12" t="n">
        <v>91380</v>
      </c>
      <c r="H11" s="12" t="n">
        <v>0</v>
      </c>
      <c r="I11" s="13" t="n">
        <v>1451420</v>
      </c>
      <c r="J11" s="12" t="n">
        <v>1828523</v>
      </c>
      <c r="K11" s="37" t="n">
        <f aca="false">IF(J11&gt;0,(I11-J11)/J11,"-")</f>
        <v>-0.206233665094724</v>
      </c>
    </row>
    <row r="12" customFormat="false" ht="18" hidden="false" customHeight="true" outlineLevel="0" collapsed="false">
      <c r="A12" s="17" t="s">
        <v>33</v>
      </c>
      <c r="B12" s="18" t="n">
        <v>116</v>
      </c>
      <c r="C12" s="19" t="n">
        <v>106390</v>
      </c>
      <c r="D12" s="19" t="n">
        <v>5218.2</v>
      </c>
      <c r="E12" s="19" t="n">
        <v>0</v>
      </c>
      <c r="F12" s="19" t="n">
        <v>19720</v>
      </c>
      <c r="G12" s="19" t="n">
        <v>16850</v>
      </c>
      <c r="H12" s="19" t="n">
        <v>0</v>
      </c>
      <c r="I12" s="20" t="n">
        <v>148178.2</v>
      </c>
      <c r="J12" s="19" t="n">
        <v>10998</v>
      </c>
      <c r="K12" s="36" t="n">
        <f aca="false">IF(J12&gt;0,(I12-J12)/J12,"-")</f>
        <v>12.4731951263866</v>
      </c>
    </row>
    <row r="13" customFormat="false" ht="18" hidden="false" customHeight="true" outlineLevel="0" collapsed="false">
      <c r="A13" s="10" t="s">
        <v>35</v>
      </c>
      <c r="B13" s="11" t="n">
        <v>5</v>
      </c>
      <c r="C13" s="12" t="n">
        <v>12305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3" t="n">
        <v>12305</v>
      </c>
      <c r="J13" s="12" t="n">
        <v>27416</v>
      </c>
      <c r="K13" s="37" t="n">
        <f aca="false">IF(J13&gt;0,(I13-J13)/J13,"-")</f>
        <v>-0.551174496644295</v>
      </c>
    </row>
    <row r="14" customFormat="false" ht="18" hidden="false" customHeight="true" outlineLevel="0" collapsed="false">
      <c r="A14" s="23" t="s">
        <v>26</v>
      </c>
      <c r="B14" s="18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20" t="n">
        <v>0</v>
      </c>
      <c r="J14" s="19" t="n">
        <v>1198870</v>
      </c>
      <c r="K14" s="37" t="n">
        <f aca="false">IF(J14&gt;0,(I14-J14)/J14,"-")</f>
        <v>-1</v>
      </c>
    </row>
    <row r="15" customFormat="false" ht="18" hidden="false" customHeight="true" outlineLevel="0" collapsed="false">
      <c r="A15" s="24" t="s">
        <v>27</v>
      </c>
      <c r="B15" s="11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3" t="n">
        <v>0</v>
      </c>
      <c r="J15" s="12" t="n">
        <v>1288598.6</v>
      </c>
      <c r="K15" s="37" t="n">
        <f aca="false">IF(J15&gt;0,(I15-J15)/J15,"-")</f>
        <v>-1</v>
      </c>
    </row>
    <row r="16" customFormat="false" ht="18" hidden="false" customHeight="true" outlineLevel="0" collapsed="false">
      <c r="A16" s="23" t="s">
        <v>29</v>
      </c>
      <c r="B16" s="18" t="n">
        <v>0</v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20" t="n">
        <v>0</v>
      </c>
      <c r="J16" s="19" t="n">
        <v>3398493.18</v>
      </c>
      <c r="K16" s="37" t="n">
        <f aca="false">IF(J16&gt;0,(I16-J16)/J16,"-")</f>
        <v>-1</v>
      </c>
    </row>
    <row r="17" customFormat="false" ht="18" hidden="false" customHeight="true" outlineLevel="0" collapsed="false">
      <c r="A17" s="24" t="s">
        <v>32</v>
      </c>
      <c r="B17" s="11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3" t="n">
        <v>0</v>
      </c>
      <c r="J17" s="12" t="n">
        <v>1634916.53</v>
      </c>
      <c r="K17" s="37" t="n">
        <f aca="false">IF(J17&gt;0,(I17-J17)/J17,"-")</f>
        <v>-1</v>
      </c>
    </row>
    <row r="18" customFormat="false" ht="18" hidden="false" customHeight="true" outlineLevel="0" collapsed="false">
      <c r="A18" s="23" t="s">
        <v>34</v>
      </c>
      <c r="B18" s="18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20" t="n">
        <v>0</v>
      </c>
      <c r="J18" s="19" t="n">
        <v>0</v>
      </c>
      <c r="K18" s="14" t="str">
        <f aca="false">IF(J18&gt;0,(I18-J18)/J18,"-")</f>
        <v>-</v>
      </c>
    </row>
    <row r="19" customFormat="false" ht="21.75" hidden="false" customHeight="true" outlineLevel="0" collapsed="false">
      <c r="A19" s="25" t="s">
        <v>62</v>
      </c>
      <c r="B19" s="26" t="n">
        <f aca="false">SUM(B5:B18)</f>
        <v>31177</v>
      </c>
      <c r="C19" s="27" t="n">
        <f aca="false">SUM(C5:C18)</f>
        <v>59693111</v>
      </c>
      <c r="D19" s="27" t="n">
        <f aca="false">SUM(D5:D18)</f>
        <v>507655.48</v>
      </c>
      <c r="E19" s="27" t="n">
        <f aca="false">SUM(E5:E18)</f>
        <v>76700</v>
      </c>
      <c r="F19" s="27" t="n">
        <f aca="false">SUM(F5:F18)</f>
        <v>4060285</v>
      </c>
      <c r="G19" s="27" t="n">
        <f aca="false">SUM(G5:G18)</f>
        <v>3825387</v>
      </c>
      <c r="H19" s="27" t="n">
        <f aca="false">SUM(H5:H18)</f>
        <v>856780</v>
      </c>
      <c r="I19" s="27" t="n">
        <f aca="false">SUM(I5:I18)</f>
        <v>69019918.48</v>
      </c>
      <c r="J19" s="27" t="n">
        <f aca="false">SUM(J5:J18)</f>
        <v>52586615.31</v>
      </c>
      <c r="K19" s="28" t="n">
        <f aca="false">IF(J19&gt;0,(I19-J19)/J19,"-")</f>
        <v>0.312499731597577</v>
      </c>
    </row>
  </sheetData>
  <mergeCells count="2">
    <mergeCell ref="A1:K1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31.5" hidden="false" customHeight="true" outlineLevel="0" collapsed="false">
      <c r="A1" s="30" t="s">
        <v>63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3" customFormat="false" ht="19.5" hidden="false" customHeight="true" outlineLevel="0" collapsed="false">
      <c r="A3" s="7" t="s">
        <v>64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customFormat="false" ht="30" hidden="false" customHeight="true" outlineLevel="0" collapsed="false">
      <c r="A4" s="8" t="s">
        <v>9</v>
      </c>
      <c r="B4" s="8" t="s">
        <v>10</v>
      </c>
      <c r="C4" s="8" t="s">
        <v>41</v>
      </c>
      <c r="D4" s="8" t="s">
        <v>12</v>
      </c>
      <c r="E4" s="8" t="s">
        <v>13</v>
      </c>
      <c r="F4" s="8" t="s">
        <v>42</v>
      </c>
      <c r="G4" s="8" t="s">
        <v>15</v>
      </c>
      <c r="H4" s="8" t="s">
        <v>16</v>
      </c>
      <c r="I4" s="8" t="s">
        <v>65</v>
      </c>
      <c r="J4" s="8" t="s">
        <v>66</v>
      </c>
      <c r="K4" s="8" t="s">
        <v>67</v>
      </c>
    </row>
    <row r="5" customFormat="false" ht="18" hidden="false" customHeight="true" outlineLevel="0" collapsed="false">
      <c r="A5" s="10" t="s">
        <v>23</v>
      </c>
      <c r="B5" s="11" t="n">
        <v>1497</v>
      </c>
      <c r="C5" s="12" t="n">
        <v>2594076</v>
      </c>
      <c r="D5" s="12" t="n">
        <v>5381</v>
      </c>
      <c r="E5" s="12" t="n">
        <v>0</v>
      </c>
      <c r="F5" s="12" t="n">
        <v>224550</v>
      </c>
      <c r="G5" s="12" t="n">
        <v>223500</v>
      </c>
      <c r="H5" s="12" t="n">
        <v>99840</v>
      </c>
      <c r="I5" s="13" t="n">
        <v>3147347</v>
      </c>
      <c r="J5" s="14" t="n">
        <f aca="false">IF(I$19&gt;0,I5/I$19,0)</f>
        <v>0.335597157716963</v>
      </c>
      <c r="K5" s="12" t="n">
        <f aca="false">IF(B5&gt;0,I5/B5,0)</f>
        <v>2102.43620574482</v>
      </c>
    </row>
    <row r="6" customFormat="false" ht="18" hidden="false" customHeight="true" outlineLevel="0" collapsed="false">
      <c r="A6" s="17" t="s">
        <v>24</v>
      </c>
      <c r="B6" s="18" t="n">
        <v>1507</v>
      </c>
      <c r="C6" s="19" t="n">
        <v>2537681</v>
      </c>
      <c r="D6" s="19" t="n">
        <v>51938</v>
      </c>
      <c r="E6" s="19" t="n">
        <v>0</v>
      </c>
      <c r="F6" s="19" t="n">
        <v>238560</v>
      </c>
      <c r="G6" s="19" t="n">
        <v>151500</v>
      </c>
      <c r="H6" s="19" t="n">
        <v>0</v>
      </c>
      <c r="I6" s="20" t="n">
        <v>2979679</v>
      </c>
      <c r="J6" s="21" t="n">
        <f aca="false">IF(I$19&gt;0,I6/I$19,0)</f>
        <v>0.317718956095062</v>
      </c>
      <c r="K6" s="19" t="n">
        <f aca="false">IF(B6&gt;0,I6/B6,0)</f>
        <v>1977.22561380226</v>
      </c>
    </row>
    <row r="7" customFormat="false" ht="18" hidden="false" customHeight="true" outlineLevel="0" collapsed="false">
      <c r="A7" s="10" t="s">
        <v>22</v>
      </c>
      <c r="B7" s="11" t="n">
        <v>1066</v>
      </c>
      <c r="C7" s="12" t="n">
        <v>2403565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3" t="n">
        <v>2403565</v>
      </c>
      <c r="J7" s="14" t="n">
        <f aca="false">IF(I$19&gt;0,I7/I$19,0)</f>
        <v>0.256288735366</v>
      </c>
      <c r="K7" s="12" t="n">
        <f aca="false">IF(B7&gt;0,I7/B7,0)</f>
        <v>2254.75140712946</v>
      </c>
    </row>
    <row r="8" customFormat="false" ht="18" hidden="false" customHeight="true" outlineLevel="0" collapsed="false">
      <c r="A8" s="17" t="s">
        <v>30</v>
      </c>
      <c r="B8" s="18" t="n">
        <v>148</v>
      </c>
      <c r="C8" s="19" t="n">
        <v>321445</v>
      </c>
      <c r="D8" s="19" t="n">
        <v>2291</v>
      </c>
      <c r="E8" s="19" t="n">
        <v>0</v>
      </c>
      <c r="F8" s="19" t="n">
        <v>24420</v>
      </c>
      <c r="G8" s="19" t="n">
        <v>34060</v>
      </c>
      <c r="H8" s="19" t="n">
        <v>0</v>
      </c>
      <c r="I8" s="20" t="n">
        <v>382216</v>
      </c>
      <c r="J8" s="21" t="n">
        <f aca="false">IF(I$19&gt;0,I8/I$19,0)</f>
        <v>0.0407551513175849</v>
      </c>
      <c r="K8" s="19" t="n">
        <f aca="false">IF(B8&gt;0,I8/B8,0)</f>
        <v>2582.54054054054</v>
      </c>
    </row>
    <row r="9" customFormat="false" ht="18" hidden="false" customHeight="true" outlineLevel="0" collapsed="false">
      <c r="A9" s="10" t="s">
        <v>31</v>
      </c>
      <c r="B9" s="11" t="n">
        <v>143</v>
      </c>
      <c r="C9" s="12" t="n">
        <v>297548</v>
      </c>
      <c r="D9" s="12" t="n">
        <v>5697</v>
      </c>
      <c r="E9" s="12" t="n">
        <v>0</v>
      </c>
      <c r="F9" s="12" t="n">
        <v>23595</v>
      </c>
      <c r="G9" s="12" t="n">
        <v>17980</v>
      </c>
      <c r="H9" s="12" t="n">
        <v>0</v>
      </c>
      <c r="I9" s="13" t="n">
        <v>344820</v>
      </c>
      <c r="J9" s="14" t="n">
        <f aca="false">IF(I$19&gt;0,I9/I$19,0)</f>
        <v>0.0367676687457606</v>
      </c>
      <c r="K9" s="12" t="n">
        <f aca="false">IF(B9&gt;0,I9/B9,0)</f>
        <v>2411.32867132867</v>
      </c>
    </row>
    <row r="10" customFormat="false" ht="18" hidden="false" customHeight="true" outlineLevel="0" collapsed="false">
      <c r="A10" s="17" t="s">
        <v>33</v>
      </c>
      <c r="B10" s="18" t="n">
        <v>101</v>
      </c>
      <c r="C10" s="19" t="n">
        <v>83648</v>
      </c>
      <c r="D10" s="19" t="n">
        <v>5218.2</v>
      </c>
      <c r="E10" s="19" t="n">
        <v>0</v>
      </c>
      <c r="F10" s="19" t="n">
        <v>17170</v>
      </c>
      <c r="G10" s="19" t="n">
        <v>14685</v>
      </c>
      <c r="H10" s="19" t="n">
        <v>0</v>
      </c>
      <c r="I10" s="20" t="n">
        <v>120721.2</v>
      </c>
      <c r="J10" s="21" t="n">
        <f aca="false">IF(I$19&gt;0,I10/I$19,0)</f>
        <v>0.0128723307586298</v>
      </c>
      <c r="K10" s="19" t="n">
        <f aca="false">IF(B10&gt;0,I10/B10,0)</f>
        <v>1195.25940594059</v>
      </c>
    </row>
    <row r="11" customFormat="false" ht="18" hidden="false" customHeight="true" outlineLevel="0" collapsed="false">
      <c r="A11" s="24" t="s">
        <v>25</v>
      </c>
      <c r="B11" s="11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3" t="n">
        <v>0</v>
      </c>
      <c r="J11" s="14" t="n">
        <f aca="false">IF(I$19&gt;0,I11/I$19,0)</f>
        <v>0</v>
      </c>
      <c r="K11" s="12" t="n">
        <f aca="false">IF(B11&gt;0,I11/B11,0)</f>
        <v>0</v>
      </c>
    </row>
    <row r="12" customFormat="false" ht="18" hidden="false" customHeight="true" outlineLevel="0" collapsed="false">
      <c r="A12" s="23" t="s">
        <v>26</v>
      </c>
      <c r="B12" s="18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20" t="n">
        <v>0</v>
      </c>
      <c r="J12" s="21" t="n">
        <f aca="false">IF(I$19&gt;0,I12/I$19,0)</f>
        <v>0</v>
      </c>
      <c r="K12" s="19" t="n">
        <f aca="false">IF(B12&gt;0,I12/B12,0)</f>
        <v>0</v>
      </c>
    </row>
    <row r="13" customFormat="false" ht="18" hidden="false" customHeight="true" outlineLevel="0" collapsed="false">
      <c r="A13" s="24" t="s">
        <v>27</v>
      </c>
      <c r="B13" s="11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3" t="n">
        <v>0</v>
      </c>
      <c r="J13" s="14" t="n">
        <f aca="false">IF(I$19&gt;0,I13/I$19,0)</f>
        <v>0</v>
      </c>
      <c r="K13" s="12" t="n">
        <f aca="false">IF(B13&gt;0,I13/B13,0)</f>
        <v>0</v>
      </c>
    </row>
    <row r="14" customFormat="false" ht="18" hidden="false" customHeight="true" outlineLevel="0" collapsed="false">
      <c r="A14" s="23" t="s">
        <v>28</v>
      </c>
      <c r="B14" s="18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20" t="n">
        <v>0</v>
      </c>
      <c r="J14" s="21" t="n">
        <f aca="false">IF(I$19&gt;0,I14/I$19,0)</f>
        <v>0</v>
      </c>
      <c r="K14" s="19" t="n">
        <f aca="false">IF(B14&gt;0,I14/B14,0)</f>
        <v>0</v>
      </c>
    </row>
    <row r="15" customFormat="false" ht="18" hidden="false" customHeight="true" outlineLevel="0" collapsed="false">
      <c r="A15" s="24" t="s">
        <v>29</v>
      </c>
      <c r="B15" s="11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3" t="n">
        <v>0</v>
      </c>
      <c r="J15" s="14" t="n">
        <f aca="false">IF(I$19&gt;0,I15/I$19,0)</f>
        <v>0</v>
      </c>
      <c r="K15" s="12" t="n">
        <f aca="false">IF(B15&gt;0,I15/B15,0)</f>
        <v>0</v>
      </c>
    </row>
    <row r="16" customFormat="false" ht="18" hidden="false" customHeight="true" outlineLevel="0" collapsed="false">
      <c r="A16" s="23" t="s">
        <v>32</v>
      </c>
      <c r="B16" s="18" t="n">
        <v>0</v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20" t="n">
        <v>0</v>
      </c>
      <c r="J16" s="21" t="n">
        <f aca="false">IF(I$19&gt;0,I16/I$19,0)</f>
        <v>0</v>
      </c>
      <c r="K16" s="19" t="n">
        <f aca="false">IF(B16&gt;0,I16/B16,0)</f>
        <v>0</v>
      </c>
    </row>
    <row r="17" customFormat="false" ht="18" hidden="false" customHeight="true" outlineLevel="0" collapsed="false">
      <c r="A17" s="24" t="s">
        <v>34</v>
      </c>
      <c r="B17" s="11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3" t="n">
        <v>0</v>
      </c>
      <c r="J17" s="14" t="n">
        <f aca="false">IF(I$19&gt;0,I17/I$19,0)</f>
        <v>0</v>
      </c>
      <c r="K17" s="12" t="n">
        <f aca="false">IF(B17&gt;0,I17/B17,0)</f>
        <v>0</v>
      </c>
    </row>
    <row r="18" customFormat="false" ht="18" hidden="false" customHeight="true" outlineLevel="0" collapsed="false">
      <c r="A18" s="23" t="s">
        <v>35</v>
      </c>
      <c r="B18" s="18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20" t="n">
        <v>0</v>
      </c>
      <c r="J18" s="21" t="n">
        <f aca="false">IF(I$19&gt;0,I18/I$19,0)</f>
        <v>0</v>
      </c>
      <c r="K18" s="19" t="n">
        <f aca="false">IF(B18&gt;0,I18/B18,0)</f>
        <v>0</v>
      </c>
    </row>
    <row r="19" customFormat="false" ht="21.75" hidden="false" customHeight="true" outlineLevel="0" collapsed="false">
      <c r="A19" s="25" t="s">
        <v>68</v>
      </c>
      <c r="B19" s="26" t="n">
        <f aca="false">SUM(B5:B18)</f>
        <v>4462</v>
      </c>
      <c r="C19" s="27" t="n">
        <f aca="false">SUM(C5:C18)</f>
        <v>8237963</v>
      </c>
      <c r="D19" s="27" t="n">
        <f aca="false">SUM(D5:D18)</f>
        <v>70525.2</v>
      </c>
      <c r="E19" s="27" t="n">
        <f aca="false">SUM(E5:E18)</f>
        <v>0</v>
      </c>
      <c r="F19" s="27" t="n">
        <f aca="false">SUM(F5:F18)</f>
        <v>528295</v>
      </c>
      <c r="G19" s="27" t="n">
        <f aca="false">SUM(G5:G18)</f>
        <v>441725</v>
      </c>
      <c r="H19" s="27" t="n">
        <f aca="false">SUM(H5:H18)</f>
        <v>99840</v>
      </c>
      <c r="I19" s="27" t="n">
        <f aca="false">SUM(I5:I18)</f>
        <v>9378348.2</v>
      </c>
      <c r="J19" s="28" t="s">
        <v>37</v>
      </c>
      <c r="K19" s="27" t="n">
        <f aca="false">IF(B19&gt;0,I19/B19,0)</f>
        <v>2101.82613177947</v>
      </c>
    </row>
  </sheetData>
  <mergeCells count="2">
    <mergeCell ref="A1:K1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5" min="2" style="0" width="10"/>
    <col collapsed="false" customWidth="true" hidden="false" outlineLevel="0" max="26" min="26" style="0" width="14"/>
  </cols>
  <sheetData>
    <row r="1" customFormat="false" ht="31.5" hidden="false" customHeight="true" outlineLevel="0" collapsed="false">
      <c r="A1" s="30" t="s">
        <v>69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3" customFormat="false" ht="27.75" hidden="false" customHeight="true" outlineLevel="0" collapsed="false">
      <c r="A3" s="8" t="s">
        <v>9</v>
      </c>
      <c r="B3" s="8" t="s">
        <v>70</v>
      </c>
      <c r="C3" s="8" t="s">
        <v>71</v>
      </c>
      <c r="D3" s="8" t="s">
        <v>72</v>
      </c>
      <c r="E3" s="8" t="s">
        <v>73</v>
      </c>
      <c r="F3" s="8" t="s">
        <v>74</v>
      </c>
      <c r="G3" s="8" t="s">
        <v>75</v>
      </c>
      <c r="H3" s="8" t="s">
        <v>76</v>
      </c>
      <c r="I3" s="8" t="s">
        <v>77</v>
      </c>
      <c r="J3" s="8" t="s">
        <v>78</v>
      </c>
      <c r="K3" s="8" t="s">
        <v>79</v>
      </c>
      <c r="L3" s="8" t="s">
        <v>80</v>
      </c>
      <c r="M3" s="8" t="s">
        <v>81</v>
      </c>
      <c r="N3" s="8" t="s">
        <v>82</v>
      </c>
      <c r="O3" s="8" t="s">
        <v>83</v>
      </c>
      <c r="P3" s="8" t="s">
        <v>84</v>
      </c>
      <c r="Q3" s="8" t="s">
        <v>85</v>
      </c>
      <c r="R3" s="8" t="s">
        <v>86</v>
      </c>
      <c r="S3" s="8" t="s">
        <v>87</v>
      </c>
      <c r="T3" s="8" t="s">
        <v>88</v>
      </c>
      <c r="U3" s="8" t="s">
        <v>89</v>
      </c>
      <c r="V3" s="8" t="s">
        <v>90</v>
      </c>
      <c r="W3" s="8" t="s">
        <v>91</v>
      </c>
      <c r="X3" s="8" t="s">
        <v>92</v>
      </c>
      <c r="Y3" s="8" t="s">
        <v>93</v>
      </c>
      <c r="Z3" s="8" t="s">
        <v>43</v>
      </c>
    </row>
    <row r="4" customFormat="false" ht="18" hidden="false" customHeight="true" outlineLevel="0" collapsed="false">
      <c r="A4" s="10" t="s">
        <v>22</v>
      </c>
      <c r="B4" s="12" t="n">
        <v>1741404</v>
      </c>
      <c r="C4" s="12" t="n">
        <v>2224470</v>
      </c>
      <c r="D4" s="12" t="n">
        <v>1987538</v>
      </c>
      <c r="E4" s="12" t="n">
        <v>1868662</v>
      </c>
      <c r="F4" s="12" t="n">
        <v>1114797</v>
      </c>
      <c r="G4" s="12" t="n">
        <v>1750550</v>
      </c>
      <c r="H4" s="12" t="n">
        <v>1579397</v>
      </c>
      <c r="I4" s="12" t="n">
        <v>1469093</v>
      </c>
      <c r="J4" s="12" t="n">
        <v>1219600</v>
      </c>
      <c r="K4" s="12" t="n">
        <v>1470430</v>
      </c>
      <c r="L4" s="12" t="n">
        <v>1082106</v>
      </c>
      <c r="M4" s="12" t="n">
        <v>321435</v>
      </c>
      <c r="N4" s="12" t="n">
        <v>629199</v>
      </c>
      <c r="O4" s="12" t="n">
        <v>614755</v>
      </c>
      <c r="P4" s="12" t="n">
        <v>494855</v>
      </c>
      <c r="Q4" s="12" t="n">
        <v>383350</v>
      </c>
      <c r="R4" s="12" t="n">
        <v>209010</v>
      </c>
      <c r="S4" s="12" t="n">
        <v>306541</v>
      </c>
      <c r="T4" s="12" t="n">
        <v>466210</v>
      </c>
      <c r="U4" s="12" t="n">
        <v>928316</v>
      </c>
      <c r="V4" s="12" t="n">
        <v>1489280</v>
      </c>
      <c r="W4" s="12" t="n">
        <v>1522270</v>
      </c>
      <c r="X4" s="12" t="n">
        <v>1307400</v>
      </c>
      <c r="Y4" s="12" t="n">
        <v>1096165</v>
      </c>
      <c r="Z4" s="13" t="n">
        <f aca="false">SUM(B4:Y4)</f>
        <v>27276833</v>
      </c>
    </row>
    <row r="5" customFormat="false" ht="18" hidden="false" customHeight="true" outlineLevel="0" collapsed="false">
      <c r="A5" s="17" t="s">
        <v>23</v>
      </c>
      <c r="B5" s="19" t="n">
        <v>286003</v>
      </c>
      <c r="C5" s="19" t="n">
        <v>173449</v>
      </c>
      <c r="D5" s="19" t="n">
        <v>192623</v>
      </c>
      <c r="E5" s="19" t="n">
        <v>283577</v>
      </c>
      <c r="F5" s="19" t="n">
        <v>412489</v>
      </c>
      <c r="G5" s="19" t="n">
        <v>623096</v>
      </c>
      <c r="H5" s="19" t="n">
        <v>1181663</v>
      </c>
      <c r="I5" s="19" t="n">
        <v>2192469</v>
      </c>
      <c r="J5" s="19" t="n">
        <v>3374402</v>
      </c>
      <c r="K5" s="19" t="n">
        <v>3630500</v>
      </c>
      <c r="L5" s="19" t="n">
        <v>1588883</v>
      </c>
      <c r="M5" s="19" t="n">
        <v>1852468</v>
      </c>
      <c r="N5" s="19" t="n">
        <v>1254978</v>
      </c>
      <c r="O5" s="19" t="n">
        <v>2113697</v>
      </c>
      <c r="P5" s="19" t="n">
        <v>2457927</v>
      </c>
      <c r="Q5" s="19" t="n">
        <v>2186900</v>
      </c>
      <c r="R5" s="19" t="n">
        <v>2002276</v>
      </c>
      <c r="S5" s="19" t="n">
        <v>2378636</v>
      </c>
      <c r="T5" s="19" t="n">
        <v>2335387</v>
      </c>
      <c r="U5" s="19" t="n">
        <v>2045303.5</v>
      </c>
      <c r="V5" s="19" t="n">
        <v>1742589.5</v>
      </c>
      <c r="W5" s="19" t="n">
        <v>1935404</v>
      </c>
      <c r="X5" s="19" t="n">
        <v>1640934</v>
      </c>
      <c r="Y5" s="19" t="n">
        <v>1506413</v>
      </c>
      <c r="Z5" s="13" t="n">
        <f aca="false">SUM(B5:Y5)</f>
        <v>39392067</v>
      </c>
    </row>
    <row r="6" customFormat="false" ht="18" hidden="false" customHeight="true" outlineLevel="0" collapsed="false">
      <c r="A6" s="10" t="s">
        <v>24</v>
      </c>
      <c r="B6" s="12" t="n">
        <v>348064</v>
      </c>
      <c r="C6" s="12" t="n">
        <v>269379</v>
      </c>
      <c r="D6" s="12" t="n">
        <v>311004</v>
      </c>
      <c r="E6" s="12" t="n">
        <v>93079</v>
      </c>
      <c r="F6" s="12" t="n">
        <v>224332</v>
      </c>
      <c r="G6" s="12" t="n">
        <v>962341</v>
      </c>
      <c r="H6" s="12" t="n">
        <v>1389775</v>
      </c>
      <c r="I6" s="12" t="n">
        <v>767989</v>
      </c>
      <c r="J6" s="12" t="n">
        <v>718263</v>
      </c>
      <c r="K6" s="12" t="n">
        <v>838007</v>
      </c>
      <c r="L6" s="12" t="n">
        <v>535857</v>
      </c>
      <c r="M6" s="12" t="n">
        <v>763314</v>
      </c>
      <c r="N6" s="12" t="n">
        <v>877996</v>
      </c>
      <c r="O6" s="12" t="n">
        <v>1087573</v>
      </c>
      <c r="P6" s="12" t="n">
        <v>1589768</v>
      </c>
      <c r="Q6" s="12" t="n">
        <v>1347580.88</v>
      </c>
      <c r="R6" s="12" t="n">
        <v>1074843.4</v>
      </c>
      <c r="S6" s="12" t="n">
        <v>1866648</v>
      </c>
      <c r="T6" s="12" t="n">
        <v>2849160</v>
      </c>
      <c r="U6" s="12" t="n">
        <v>2507437</v>
      </c>
      <c r="V6" s="12" t="n">
        <v>2210351</v>
      </c>
      <c r="W6" s="12" t="n">
        <v>2514603</v>
      </c>
      <c r="X6" s="12" t="n">
        <v>1617039</v>
      </c>
      <c r="Y6" s="12" t="n">
        <v>1362640</v>
      </c>
      <c r="Z6" s="13" t="n">
        <f aca="false">SUM(B6:Y6)</f>
        <v>28127043.28</v>
      </c>
    </row>
    <row r="7" customFormat="false" ht="18" hidden="false" customHeight="true" outlineLevel="0" collapsed="false">
      <c r="A7" s="17" t="s">
        <v>25</v>
      </c>
      <c r="B7" s="19" t="n">
        <v>244655</v>
      </c>
      <c r="C7" s="19" t="n">
        <v>199395</v>
      </c>
      <c r="D7" s="19" t="n">
        <v>231205</v>
      </c>
      <c r="E7" s="19" t="n">
        <v>407495</v>
      </c>
      <c r="F7" s="19" t="n">
        <v>354890</v>
      </c>
      <c r="G7" s="19" t="n">
        <v>276745</v>
      </c>
      <c r="H7" s="19" t="n">
        <v>436850</v>
      </c>
      <c r="I7" s="19" t="n">
        <v>477885</v>
      </c>
      <c r="J7" s="19" t="n">
        <v>336145</v>
      </c>
      <c r="K7" s="19" t="n">
        <v>590430</v>
      </c>
      <c r="L7" s="19" t="n">
        <v>573810</v>
      </c>
      <c r="M7" s="19" t="n">
        <v>395065</v>
      </c>
      <c r="N7" s="19" t="n">
        <v>467345</v>
      </c>
      <c r="O7" s="19" t="n">
        <v>533450</v>
      </c>
      <c r="P7" s="19" t="n">
        <v>420710</v>
      </c>
      <c r="Q7" s="19" t="n">
        <v>663570</v>
      </c>
      <c r="R7" s="19" t="n">
        <v>605280</v>
      </c>
      <c r="S7" s="19" t="n">
        <v>312895</v>
      </c>
      <c r="T7" s="19" t="n">
        <v>12610</v>
      </c>
      <c r="U7" s="19"/>
      <c r="V7" s="19"/>
      <c r="W7" s="19"/>
      <c r="X7" s="19"/>
      <c r="Y7" s="19"/>
      <c r="Z7" s="13" t="n">
        <f aca="false">SUM(B7:Y7)</f>
        <v>7540430</v>
      </c>
    </row>
    <row r="8" customFormat="false" ht="18" hidden="false" customHeight="true" outlineLevel="0" collapsed="false">
      <c r="A8" s="10" t="s">
        <v>26</v>
      </c>
      <c r="B8" s="12" t="n">
        <v>112035</v>
      </c>
      <c r="C8" s="12" t="n">
        <v>428515</v>
      </c>
      <c r="D8" s="12" t="n">
        <v>367180</v>
      </c>
      <c r="E8" s="12" t="n">
        <v>104565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 t="n">
        <f aca="false">SUM(B8:Y8)</f>
        <v>1012295</v>
      </c>
    </row>
    <row r="9" customFormat="false" ht="18" hidden="false" customHeight="true" outlineLevel="0" collapsed="false">
      <c r="A9" s="17" t="s">
        <v>27</v>
      </c>
      <c r="B9" s="19" t="n">
        <v>206488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3" t="n">
        <f aca="false">SUM(B9:Y9)</f>
        <v>206488</v>
      </c>
    </row>
    <row r="10" customFormat="false" ht="18" hidden="false" customHeight="true" outlineLevel="0" collapsed="false">
      <c r="A10" s="10" t="s">
        <v>28</v>
      </c>
      <c r="B10" s="12" t="n">
        <v>162330</v>
      </c>
      <c r="C10" s="12" t="n">
        <v>162073</v>
      </c>
      <c r="D10" s="12" t="n">
        <v>123695</v>
      </c>
      <c r="E10" s="12" t="n">
        <v>215725</v>
      </c>
      <c r="F10" s="12" t="n">
        <v>204123</v>
      </c>
      <c r="G10" s="12" t="n">
        <v>173621</v>
      </c>
      <c r="H10" s="12" t="n">
        <v>162612</v>
      </c>
      <c r="I10" s="12" t="n">
        <v>183467</v>
      </c>
      <c r="J10" s="12" t="n">
        <v>94484</v>
      </c>
      <c r="K10" s="12" t="n">
        <v>169134</v>
      </c>
      <c r="L10" s="12" t="n">
        <v>34965</v>
      </c>
      <c r="M10" s="12" t="n">
        <v>2028</v>
      </c>
      <c r="N10" s="12" t="n">
        <v>4874</v>
      </c>
      <c r="O10" s="12" t="n">
        <v>22620</v>
      </c>
      <c r="P10" s="12" t="n">
        <v>140577</v>
      </c>
      <c r="Q10" s="12" t="n">
        <v>201226</v>
      </c>
      <c r="R10" s="12" t="n">
        <v>193224</v>
      </c>
      <c r="S10" s="12" t="n">
        <v>229285</v>
      </c>
      <c r="T10" s="12" t="n">
        <v>372236</v>
      </c>
      <c r="U10" s="12" t="n">
        <v>241116</v>
      </c>
      <c r="V10" s="12" t="n">
        <v>7939</v>
      </c>
      <c r="W10" s="12" t="n">
        <v>1330</v>
      </c>
      <c r="X10" s="12"/>
      <c r="Y10" s="12"/>
      <c r="Z10" s="13" t="n">
        <f aca="false">SUM(B10:Y10)</f>
        <v>3102684</v>
      </c>
    </row>
    <row r="11" customFormat="false" ht="18" hidden="false" customHeight="true" outlineLevel="0" collapsed="false">
      <c r="A11" s="17" t="s">
        <v>29</v>
      </c>
      <c r="B11" s="19" t="n">
        <v>398560.58</v>
      </c>
      <c r="C11" s="19" t="n">
        <v>422464</v>
      </c>
      <c r="D11" s="19" t="n">
        <v>426374</v>
      </c>
      <c r="E11" s="19" t="n">
        <v>368756</v>
      </c>
      <c r="F11" s="19" t="n">
        <v>405325</v>
      </c>
      <c r="G11" s="19" t="n">
        <v>326257</v>
      </c>
      <c r="H11" s="19" t="n">
        <v>413099</v>
      </c>
      <c r="I11" s="19" t="n">
        <v>41464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3" t="n">
        <f aca="false">SUM(B11:Y11)</f>
        <v>2802299.58</v>
      </c>
    </row>
    <row r="12" customFormat="false" ht="18" hidden="false" customHeight="true" outlineLevel="0" collapsed="false">
      <c r="A12" s="10" t="s">
        <v>30</v>
      </c>
      <c r="B12" s="12"/>
      <c r="C12" s="12" t="n">
        <v>47151</v>
      </c>
      <c r="D12" s="12" t="n">
        <v>73004</v>
      </c>
      <c r="E12" s="12" t="n">
        <v>47100</v>
      </c>
      <c r="F12" s="12" t="n">
        <v>91323</v>
      </c>
      <c r="G12" s="12" t="n">
        <v>19000</v>
      </c>
      <c r="H12" s="12" t="n">
        <v>71255</v>
      </c>
      <c r="I12" s="12" t="n">
        <v>126146</v>
      </c>
      <c r="J12" s="12" t="n">
        <v>106550</v>
      </c>
      <c r="K12" s="12" t="n">
        <v>147869</v>
      </c>
      <c r="L12" s="12" t="n">
        <v>17044</v>
      </c>
      <c r="M12" s="12" t="n">
        <v>53686</v>
      </c>
      <c r="N12" s="12" t="n">
        <v>128074</v>
      </c>
      <c r="O12" s="12" t="n">
        <v>162792</v>
      </c>
      <c r="P12" s="12" t="n">
        <v>95116</v>
      </c>
      <c r="Q12" s="12" t="n">
        <v>129121</v>
      </c>
      <c r="R12" s="12" t="n">
        <v>100806</v>
      </c>
      <c r="S12" s="12" t="n">
        <v>112422</v>
      </c>
      <c r="T12" s="12" t="n">
        <v>119486</v>
      </c>
      <c r="U12" s="12" t="n">
        <v>95908</v>
      </c>
      <c r="V12" s="12" t="n">
        <v>129726</v>
      </c>
      <c r="W12" s="12" t="n">
        <v>173052</v>
      </c>
      <c r="X12" s="12" t="n">
        <v>148821</v>
      </c>
      <c r="Y12" s="12" t="n">
        <v>233395</v>
      </c>
      <c r="Z12" s="13" t="n">
        <f aca="false">SUM(B12:Y12)</f>
        <v>2428847</v>
      </c>
    </row>
    <row r="13" customFormat="false" ht="18" hidden="false" customHeight="true" outlineLevel="0" collapsed="false">
      <c r="A13" s="17" t="s">
        <v>31</v>
      </c>
      <c r="B13" s="19" t="n">
        <v>10232</v>
      </c>
      <c r="C13" s="19" t="n">
        <v>43462</v>
      </c>
      <c r="D13" s="19" t="n">
        <v>37096</v>
      </c>
      <c r="E13" s="19" t="n">
        <v>16299</v>
      </c>
      <c r="F13" s="19" t="n">
        <v>18350</v>
      </c>
      <c r="G13" s="19" t="n">
        <v>3081</v>
      </c>
      <c r="H13" s="19" t="n">
        <v>26704</v>
      </c>
      <c r="I13" s="19" t="n">
        <v>39392</v>
      </c>
      <c r="J13" s="19" t="n">
        <v>26523</v>
      </c>
      <c r="K13" s="19" t="n">
        <v>2059</v>
      </c>
      <c r="L13" s="19" t="n">
        <v>2059</v>
      </c>
      <c r="M13" s="19"/>
      <c r="N13" s="19" t="n">
        <v>195</v>
      </c>
      <c r="O13" s="19" t="n">
        <v>119020</v>
      </c>
      <c r="P13" s="19" t="n">
        <v>30331</v>
      </c>
      <c r="Q13" s="19" t="n">
        <v>21277</v>
      </c>
      <c r="R13" s="19" t="n">
        <v>18158</v>
      </c>
      <c r="S13" s="19" t="n">
        <v>88619</v>
      </c>
      <c r="T13" s="19" t="n">
        <v>176509</v>
      </c>
      <c r="U13" s="19" t="n">
        <v>177582</v>
      </c>
      <c r="V13" s="19" t="n">
        <v>300775</v>
      </c>
      <c r="W13" s="19" t="n">
        <v>346988</v>
      </c>
      <c r="X13" s="19" t="n">
        <v>202364</v>
      </c>
      <c r="Y13" s="19" t="n">
        <v>142456</v>
      </c>
      <c r="Z13" s="13" t="n">
        <f aca="false">SUM(B13:Y13)</f>
        <v>1849531</v>
      </c>
    </row>
    <row r="14" customFormat="false" ht="18" hidden="false" customHeight="true" outlineLevel="0" collapsed="false">
      <c r="A14" s="10" t="s">
        <v>32</v>
      </c>
      <c r="B14" s="12" t="n">
        <v>33288</v>
      </c>
      <c r="C14" s="12" t="n">
        <v>172781.43</v>
      </c>
      <c r="D14" s="12" t="n">
        <v>232587</v>
      </c>
      <c r="E14" s="12" t="n">
        <v>518893.1</v>
      </c>
      <c r="F14" s="12" t="n">
        <v>261918</v>
      </c>
      <c r="G14" s="12" t="n">
        <v>328013</v>
      </c>
      <c r="H14" s="12" t="n">
        <v>82621</v>
      </c>
      <c r="I14" s="12" t="n">
        <v>250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 t="n">
        <f aca="false">SUM(B14:Y14)</f>
        <v>1630351.53</v>
      </c>
    </row>
    <row r="15" customFormat="false" ht="18" hidden="false" customHeight="true" outlineLevel="0" collapsed="false">
      <c r="A15" s="17" t="s">
        <v>33</v>
      </c>
      <c r="B15" s="19" t="n">
        <v>3259</v>
      </c>
      <c r="C15" s="19" t="n">
        <v>2590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 t="n">
        <v>14528</v>
      </c>
      <c r="P15" s="19" t="n">
        <v>5793</v>
      </c>
      <c r="Q15" s="19"/>
      <c r="R15" s="19"/>
      <c r="S15" s="19" t="n">
        <v>7136</v>
      </c>
      <c r="T15" s="19"/>
      <c r="U15" s="19"/>
      <c r="V15" s="19"/>
      <c r="W15" s="19"/>
      <c r="X15" s="19" t="n">
        <v>25843</v>
      </c>
      <c r="Y15" s="19" t="n">
        <v>94878.2</v>
      </c>
      <c r="Z15" s="13" t="n">
        <f aca="false">SUM(B15:Y15)</f>
        <v>154027.2</v>
      </c>
    </row>
    <row r="16" customFormat="false" ht="18" hidden="false" customHeight="true" outlineLevel="0" collapsed="false">
      <c r="A16" s="10" t="s">
        <v>34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 t="n">
        <f aca="false">SUM(B16:Y16)</f>
        <v>0</v>
      </c>
    </row>
    <row r="17" customFormat="false" ht="18" hidden="false" customHeight="true" outlineLevel="0" collapsed="false">
      <c r="A17" s="17" t="s">
        <v>35</v>
      </c>
      <c r="B17" s="19" t="n">
        <v>3818</v>
      </c>
      <c r="C17" s="19" t="n">
        <v>5727</v>
      </c>
      <c r="D17" s="19"/>
      <c r="E17" s="19"/>
      <c r="F17" s="19"/>
      <c r="G17" s="19"/>
      <c r="H17" s="19"/>
      <c r="I17" s="19"/>
      <c r="J17" s="19"/>
      <c r="K17" s="19" t="n">
        <v>17871</v>
      </c>
      <c r="L17" s="19" t="n">
        <v>6578</v>
      </c>
      <c r="M17" s="19"/>
      <c r="N17" s="19" t="n">
        <v>1909</v>
      </c>
      <c r="O17" s="19" t="n">
        <v>3818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3" t="n">
        <f aca="false">SUM(B17:Y17)</f>
        <v>39721</v>
      </c>
    </row>
    <row r="18" customFormat="false" ht="21.75" hidden="false" customHeight="true" outlineLevel="0" collapsed="false">
      <c r="A18" s="25" t="s">
        <v>94</v>
      </c>
      <c r="B18" s="27" t="n">
        <f aca="false">SUM(B4:B17)</f>
        <v>3550136.58</v>
      </c>
      <c r="C18" s="27" t="n">
        <f aca="false">SUM(C4:C17)</f>
        <v>4151456.43</v>
      </c>
      <c r="D18" s="27" t="n">
        <f aca="false">SUM(D4:D17)</f>
        <v>3982306</v>
      </c>
      <c r="E18" s="27" t="n">
        <f aca="false">SUM(E4:E17)</f>
        <v>3924151.1</v>
      </c>
      <c r="F18" s="27" t="n">
        <f aca="false">SUM(F4:F17)</f>
        <v>3087547</v>
      </c>
      <c r="G18" s="27" t="n">
        <f aca="false">SUM(G4:G17)</f>
        <v>4462704</v>
      </c>
      <c r="H18" s="27" t="n">
        <f aca="false">SUM(H4:H17)</f>
        <v>5343976</v>
      </c>
      <c r="I18" s="27" t="n">
        <f aca="false">SUM(I4:I17)</f>
        <v>5298155</v>
      </c>
      <c r="J18" s="27" t="n">
        <f aca="false">SUM(J4:J17)</f>
        <v>5875967</v>
      </c>
      <c r="K18" s="27" t="n">
        <f aca="false">SUM(K4:K17)</f>
        <v>6866300</v>
      </c>
      <c r="L18" s="27" t="n">
        <f aca="false">SUM(L4:L17)</f>
        <v>3841302</v>
      </c>
      <c r="M18" s="27" t="n">
        <f aca="false">SUM(M4:M17)</f>
        <v>3387996</v>
      </c>
      <c r="N18" s="27" t="n">
        <f aca="false">SUM(N4:N17)</f>
        <v>3364570</v>
      </c>
      <c r="O18" s="27" t="n">
        <f aca="false">SUM(O4:O17)</f>
        <v>4672253</v>
      </c>
      <c r="P18" s="27" t="n">
        <f aca="false">SUM(P4:P17)</f>
        <v>5235077</v>
      </c>
      <c r="Q18" s="27" t="n">
        <f aca="false">SUM(Q4:Q17)</f>
        <v>4933024.88</v>
      </c>
      <c r="R18" s="27" t="n">
        <f aca="false">SUM(R4:R17)</f>
        <v>4203597.4</v>
      </c>
      <c r="S18" s="27" t="n">
        <f aca="false">SUM(S4:S17)</f>
        <v>5302182</v>
      </c>
      <c r="T18" s="27" t="n">
        <f aca="false">SUM(T4:T17)</f>
        <v>6331598</v>
      </c>
      <c r="U18" s="27" t="n">
        <f aca="false">SUM(U4:U17)</f>
        <v>5995662.5</v>
      </c>
      <c r="V18" s="27" t="n">
        <f aca="false">SUM(V4:V17)</f>
        <v>5880660.5</v>
      </c>
      <c r="W18" s="27" t="n">
        <f aca="false">SUM(W4:W17)</f>
        <v>6493647</v>
      </c>
      <c r="X18" s="27" t="n">
        <f aca="false">SUM(X4:X17)</f>
        <v>4942401</v>
      </c>
      <c r="Y18" s="27" t="n">
        <f aca="false">SUM(Y4:Y17)</f>
        <v>4435947.2</v>
      </c>
      <c r="Z18" s="27" t="n">
        <f aca="false">SUM(Z4:Z17)</f>
        <v>115562617.59</v>
      </c>
    </row>
    <row r="20" customFormat="false" ht="19.5" hidden="false" customHeight="true" outlineLevel="0" collapsed="false">
      <c r="A20" s="7" t="s">
        <v>95</v>
      </c>
      <c r="B20" s="7"/>
      <c r="C20" s="7"/>
      <c r="D20" s="7"/>
      <c r="E20" s="7"/>
      <c r="F20" s="7"/>
      <c r="G20" s="7"/>
      <c r="H20" s="7"/>
      <c r="I20" s="7"/>
      <c r="J20" s="7"/>
    </row>
    <row r="21" customFormat="false" ht="35.05" hidden="false" customHeight="false" outlineLevel="0" collapsed="false">
      <c r="A21" s="38" t="s">
        <v>96</v>
      </c>
      <c r="B21" s="38" t="s">
        <v>22</v>
      </c>
      <c r="C21" s="38" t="s">
        <v>23</v>
      </c>
      <c r="D21" s="38" t="s">
        <v>97</v>
      </c>
      <c r="E21" s="38" t="s">
        <v>25</v>
      </c>
      <c r="F21" s="38" t="s">
        <v>98</v>
      </c>
    </row>
    <row r="22" customFormat="false" ht="13.5" hidden="false" customHeight="true" outlineLevel="0" collapsed="false">
      <c r="A22" s="39" t="s">
        <v>76</v>
      </c>
      <c r="B22" s="40" t="n">
        <v>1579397</v>
      </c>
      <c r="C22" s="40" t="n">
        <v>1181663</v>
      </c>
      <c r="D22" s="40" t="n">
        <v>1389775</v>
      </c>
      <c r="E22" s="40" t="n">
        <v>436850</v>
      </c>
      <c r="F22" s="40"/>
    </row>
    <row r="23" customFormat="false" ht="13.5" hidden="false" customHeight="true" outlineLevel="0" collapsed="false">
      <c r="A23" s="39" t="s">
        <v>77</v>
      </c>
      <c r="B23" s="40" t="n">
        <v>1469093</v>
      </c>
      <c r="C23" s="40" t="n">
        <v>2192469</v>
      </c>
      <c r="D23" s="40" t="n">
        <v>767989</v>
      </c>
      <c r="E23" s="40" t="n">
        <v>477885</v>
      </c>
      <c r="F23" s="40"/>
    </row>
    <row r="24" customFormat="false" ht="13.5" hidden="false" customHeight="true" outlineLevel="0" collapsed="false">
      <c r="A24" s="39" t="s">
        <v>78</v>
      </c>
      <c r="B24" s="40" t="n">
        <v>1219600</v>
      </c>
      <c r="C24" s="40" t="n">
        <v>3374402</v>
      </c>
      <c r="D24" s="40" t="n">
        <v>718263</v>
      </c>
      <c r="E24" s="40" t="n">
        <v>336145</v>
      </c>
      <c r="F24" s="40"/>
    </row>
    <row r="25" customFormat="false" ht="13.5" hidden="false" customHeight="true" outlineLevel="0" collapsed="false">
      <c r="A25" s="39" t="s">
        <v>79</v>
      </c>
      <c r="B25" s="40" t="n">
        <v>1470430</v>
      </c>
      <c r="C25" s="40" t="n">
        <v>3630500</v>
      </c>
      <c r="D25" s="40" t="n">
        <v>838007</v>
      </c>
      <c r="E25" s="40" t="n">
        <v>590430</v>
      </c>
      <c r="F25" s="40"/>
    </row>
    <row r="26" customFormat="false" ht="13.5" hidden="false" customHeight="true" outlineLevel="0" collapsed="false">
      <c r="A26" s="39" t="s">
        <v>80</v>
      </c>
      <c r="B26" s="40" t="n">
        <v>1082106</v>
      </c>
      <c r="C26" s="40" t="n">
        <v>1588883</v>
      </c>
      <c r="D26" s="40" t="n">
        <v>535857</v>
      </c>
      <c r="E26" s="40" t="n">
        <v>573810</v>
      </c>
      <c r="F26" s="40"/>
    </row>
    <row r="27" customFormat="false" ht="13.5" hidden="false" customHeight="true" outlineLevel="0" collapsed="false">
      <c r="A27" s="39" t="s">
        <v>81</v>
      </c>
      <c r="B27" s="40" t="n">
        <v>321435</v>
      </c>
      <c r="C27" s="40" t="n">
        <v>1852468</v>
      </c>
      <c r="D27" s="40" t="n">
        <v>763314</v>
      </c>
      <c r="E27" s="40" t="n">
        <v>395065</v>
      </c>
      <c r="F27" s="40"/>
    </row>
    <row r="28" customFormat="false" ht="13.5" hidden="false" customHeight="true" outlineLevel="0" collapsed="false">
      <c r="A28" s="39" t="s">
        <v>82</v>
      </c>
      <c r="B28" s="40" t="n">
        <v>629199</v>
      </c>
      <c r="C28" s="40" t="n">
        <v>1254978</v>
      </c>
      <c r="D28" s="40" t="n">
        <v>877996</v>
      </c>
      <c r="E28" s="40" t="n">
        <v>467345</v>
      </c>
      <c r="F28" s="40"/>
    </row>
    <row r="29" customFormat="false" ht="13.5" hidden="false" customHeight="true" outlineLevel="0" collapsed="false">
      <c r="A29" s="39" t="s">
        <v>83</v>
      </c>
      <c r="B29" s="40" t="n">
        <v>614755</v>
      </c>
      <c r="C29" s="40" t="n">
        <v>2113697</v>
      </c>
      <c r="D29" s="40" t="n">
        <v>1087573</v>
      </c>
      <c r="E29" s="40" t="n">
        <v>533450</v>
      </c>
      <c r="F29" s="40"/>
    </row>
    <row r="30" customFormat="false" ht="13.5" hidden="false" customHeight="true" outlineLevel="0" collapsed="false">
      <c r="A30" s="39" t="s">
        <v>84</v>
      </c>
      <c r="B30" s="40" t="n">
        <v>494855</v>
      </c>
      <c r="C30" s="40" t="n">
        <v>2457927</v>
      </c>
      <c r="D30" s="40" t="n">
        <v>1589768</v>
      </c>
      <c r="E30" s="40" t="n">
        <v>420710</v>
      </c>
      <c r="F30" s="40"/>
    </row>
    <row r="31" customFormat="false" ht="13.5" hidden="false" customHeight="true" outlineLevel="0" collapsed="false">
      <c r="A31" s="39" t="s">
        <v>85</v>
      </c>
      <c r="B31" s="40" t="n">
        <v>383350</v>
      </c>
      <c r="C31" s="40" t="n">
        <v>2186900</v>
      </c>
      <c r="D31" s="40" t="n">
        <v>1347580.88</v>
      </c>
      <c r="E31" s="40" t="n">
        <v>663570</v>
      </c>
      <c r="F31" s="40"/>
    </row>
    <row r="32" customFormat="false" ht="13.5" hidden="false" customHeight="true" outlineLevel="0" collapsed="false">
      <c r="A32" s="39" t="s">
        <v>86</v>
      </c>
      <c r="B32" s="40" t="n">
        <v>209010</v>
      </c>
      <c r="C32" s="40" t="n">
        <v>2002276</v>
      </c>
      <c r="D32" s="40" t="n">
        <v>1074843.4</v>
      </c>
      <c r="E32" s="40" t="n">
        <v>605280</v>
      </c>
      <c r="F32" s="40"/>
    </row>
    <row r="33" customFormat="false" ht="13.5" hidden="false" customHeight="true" outlineLevel="0" collapsed="false">
      <c r="A33" s="39" t="s">
        <v>87</v>
      </c>
      <c r="B33" s="40" t="n">
        <v>306541</v>
      </c>
      <c r="C33" s="40" t="n">
        <v>2378636</v>
      </c>
      <c r="D33" s="40" t="n">
        <v>1866648</v>
      </c>
      <c r="E33" s="40" t="n">
        <v>312895</v>
      </c>
      <c r="F33" s="40"/>
    </row>
    <row r="34" customFormat="false" ht="13.5" hidden="false" customHeight="true" outlineLevel="0" collapsed="false">
      <c r="A34" s="39" t="s">
        <v>88</v>
      </c>
      <c r="B34" s="40" t="n">
        <v>466210</v>
      </c>
      <c r="C34" s="40" t="n">
        <v>2335387</v>
      </c>
      <c r="D34" s="40" t="n">
        <v>2849160</v>
      </c>
      <c r="E34" s="40" t="n">
        <v>12610</v>
      </c>
      <c r="F34" s="40"/>
    </row>
    <row r="35" customFormat="false" ht="13.5" hidden="false" customHeight="true" outlineLevel="0" collapsed="false">
      <c r="A35" s="39" t="s">
        <v>89</v>
      </c>
      <c r="B35" s="40" t="n">
        <v>928316</v>
      </c>
      <c r="C35" s="40" t="n">
        <v>2045303.5</v>
      </c>
      <c r="D35" s="40" t="n">
        <v>2507437</v>
      </c>
      <c r="E35" s="40"/>
      <c r="F35" s="40"/>
    </row>
    <row r="36" customFormat="false" ht="13.5" hidden="false" customHeight="true" outlineLevel="0" collapsed="false">
      <c r="A36" s="39" t="s">
        <v>90</v>
      </c>
      <c r="B36" s="40" t="n">
        <v>1489280</v>
      </c>
      <c r="C36" s="40" t="n">
        <v>1742589.5</v>
      </c>
      <c r="D36" s="40" t="n">
        <v>2210351</v>
      </c>
      <c r="E36" s="40"/>
      <c r="F36" s="40"/>
    </row>
    <row r="37" customFormat="false" ht="13.5" hidden="false" customHeight="true" outlineLevel="0" collapsed="false">
      <c r="A37" s="39" t="s">
        <v>91</v>
      </c>
      <c r="B37" s="40" t="n">
        <v>1522270</v>
      </c>
      <c r="C37" s="40" t="n">
        <v>1935404</v>
      </c>
      <c r="D37" s="40" t="n">
        <v>2514603</v>
      </c>
      <c r="E37" s="40"/>
      <c r="F37" s="40"/>
    </row>
    <row r="38" customFormat="false" ht="13.5" hidden="false" customHeight="true" outlineLevel="0" collapsed="false">
      <c r="A38" s="39" t="s">
        <v>92</v>
      </c>
      <c r="B38" s="40" t="n">
        <v>1307400</v>
      </c>
      <c r="C38" s="40" t="n">
        <v>1640934</v>
      </c>
      <c r="D38" s="40" t="n">
        <v>1617039</v>
      </c>
      <c r="E38" s="40"/>
      <c r="F38" s="40"/>
    </row>
    <row r="39" customFormat="false" ht="13.5" hidden="false" customHeight="true" outlineLevel="0" collapsed="false">
      <c r="A39" s="39" t="s">
        <v>93</v>
      </c>
      <c r="B39" s="40" t="n">
        <v>1096165</v>
      </c>
      <c r="C39" s="40" t="n">
        <v>1506413</v>
      </c>
      <c r="D39" s="40" t="n">
        <v>1362640</v>
      </c>
      <c r="E39" s="40"/>
      <c r="F39" s="40"/>
    </row>
  </sheetData>
  <mergeCells count="2">
    <mergeCell ref="A1:Z1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20"/>
  </cols>
  <sheetData>
    <row r="1" customFormat="false" ht="31.5" hidden="false" customHeight="true" outlineLevel="0" collapsed="false">
      <c r="A1" s="30" t="s">
        <v>99</v>
      </c>
      <c r="B1" s="30"/>
      <c r="C1" s="30"/>
      <c r="D1" s="30"/>
      <c r="E1" s="30"/>
      <c r="F1" s="30"/>
      <c r="G1" s="30"/>
      <c r="H1" s="30"/>
    </row>
    <row r="3" customFormat="false" ht="19.5" hidden="false" customHeight="true" outlineLevel="0" collapsed="false">
      <c r="A3" s="7" t="s">
        <v>100</v>
      </c>
      <c r="B3" s="7"/>
      <c r="C3" s="7"/>
      <c r="D3" s="7"/>
      <c r="E3" s="7"/>
      <c r="F3" s="7"/>
      <c r="G3" s="7"/>
      <c r="H3" s="7"/>
    </row>
    <row r="4" customFormat="false" ht="30" hidden="false" customHeight="true" outlineLevel="0" collapsed="false">
      <c r="A4" s="8" t="s">
        <v>21</v>
      </c>
      <c r="B4" s="8" t="s">
        <v>9</v>
      </c>
      <c r="C4" s="8" t="s">
        <v>101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</row>
    <row r="5" customFormat="false" ht="18" hidden="false" customHeight="true" outlineLevel="0" collapsed="false">
      <c r="A5" s="41" t="n">
        <v>1</v>
      </c>
      <c r="B5" s="42" t="s">
        <v>22</v>
      </c>
      <c r="C5" s="43" t="n">
        <v>69522627.7400004</v>
      </c>
      <c r="D5" s="44" t="n">
        <v>10850892</v>
      </c>
      <c r="E5" s="45" t="n">
        <v>5013</v>
      </c>
      <c r="F5" s="44" t="n">
        <v>1487.33773484801</v>
      </c>
      <c r="G5" s="46" t="s">
        <v>107</v>
      </c>
      <c r="H5" s="46" t="s">
        <v>108</v>
      </c>
    </row>
    <row r="6" customFormat="false" ht="18" hidden="false" customHeight="true" outlineLevel="0" collapsed="false">
      <c r="A6" s="41" t="n">
        <v>2</v>
      </c>
      <c r="B6" s="42" t="s">
        <v>23</v>
      </c>
      <c r="C6" s="43" t="n">
        <v>41419082.38</v>
      </c>
      <c r="D6" s="44" t="n">
        <v>27041796</v>
      </c>
      <c r="E6" s="45" t="n">
        <v>12845</v>
      </c>
      <c r="F6" s="44" t="n">
        <v>2063.01152463017</v>
      </c>
      <c r="G6" s="46" t="s">
        <v>107</v>
      </c>
      <c r="H6" s="46" t="s">
        <v>108</v>
      </c>
    </row>
    <row r="7" customFormat="false" ht="18" hidden="false" customHeight="true" outlineLevel="0" collapsed="false">
      <c r="A7" s="41" t="n">
        <v>3</v>
      </c>
      <c r="B7" s="42" t="s">
        <v>24</v>
      </c>
      <c r="C7" s="43" t="n">
        <v>30522841.28</v>
      </c>
      <c r="D7" s="44" t="n">
        <v>22204810.28</v>
      </c>
      <c r="E7" s="45" t="n">
        <v>10052</v>
      </c>
      <c r="F7" s="44" t="n">
        <v>2296.67729721595</v>
      </c>
      <c r="G7" s="46" t="s">
        <v>107</v>
      </c>
      <c r="H7" s="46" t="s">
        <v>108</v>
      </c>
    </row>
    <row r="8" customFormat="false" ht="12" hidden="false" customHeight="true" outlineLevel="0" collapsed="false">
      <c r="A8" s="0" t="s">
        <v>109</v>
      </c>
    </row>
    <row r="9" customFormat="false" ht="18" hidden="false" customHeight="true" outlineLevel="0" collapsed="false">
      <c r="A9" s="47" t="n">
        <v>12</v>
      </c>
      <c r="B9" s="48" t="s">
        <v>33</v>
      </c>
      <c r="C9" s="49" t="n">
        <v>574846.94</v>
      </c>
      <c r="D9" s="50" t="n">
        <v>148178.2</v>
      </c>
      <c r="E9" s="51" t="n">
        <v>116</v>
      </c>
      <c r="F9" s="50" t="n">
        <v>1741.96042424243</v>
      </c>
      <c r="G9" s="52" t="s">
        <v>107</v>
      </c>
      <c r="H9" s="52" t="s">
        <v>108</v>
      </c>
    </row>
    <row r="10" customFormat="false" ht="18" hidden="false" customHeight="true" outlineLevel="0" collapsed="false">
      <c r="A10" s="47" t="n">
        <v>13</v>
      </c>
      <c r="B10" s="48" t="s">
        <v>34</v>
      </c>
      <c r="C10" s="49" t="n">
        <v>119500</v>
      </c>
      <c r="D10" s="50" t="n">
        <v>0</v>
      </c>
      <c r="E10" s="51" t="n">
        <v>0</v>
      </c>
      <c r="F10" s="50" t="n">
        <v>250</v>
      </c>
      <c r="G10" s="52" t="s">
        <v>110</v>
      </c>
      <c r="H10" s="52" t="s">
        <v>111</v>
      </c>
    </row>
    <row r="11" customFormat="false" ht="18" hidden="false" customHeight="true" outlineLevel="0" collapsed="false">
      <c r="A11" s="47" t="n">
        <v>14</v>
      </c>
      <c r="B11" s="48" t="s">
        <v>35</v>
      </c>
      <c r="C11" s="49" t="n">
        <v>39721</v>
      </c>
      <c r="D11" s="50" t="n">
        <v>12305</v>
      </c>
      <c r="E11" s="51" t="n">
        <v>5</v>
      </c>
      <c r="F11" s="50" t="n">
        <v>2090.57894736842</v>
      </c>
      <c r="G11" s="52" t="s">
        <v>107</v>
      </c>
      <c r="H11" s="52" t="s">
        <v>108</v>
      </c>
    </row>
    <row r="13" customFormat="false" ht="19.5" hidden="false" customHeight="true" outlineLevel="0" collapsed="false">
      <c r="A13" s="7" t="s">
        <v>112</v>
      </c>
      <c r="B13" s="7"/>
      <c r="C13" s="7"/>
      <c r="D13" s="7"/>
      <c r="E13" s="7"/>
      <c r="F13" s="7"/>
      <c r="G13" s="7"/>
      <c r="H13" s="7"/>
    </row>
    <row r="14" customFormat="false" ht="24" hidden="false" customHeight="true" outlineLevel="0" collapsed="false">
      <c r="A14" s="8" t="s">
        <v>113</v>
      </c>
      <c r="B14" s="8" t="s">
        <v>114</v>
      </c>
      <c r="C14" s="8" t="s">
        <v>115</v>
      </c>
    </row>
    <row r="15" customFormat="false" ht="18" hidden="false" customHeight="true" outlineLevel="0" collapsed="false">
      <c r="A15" s="42" t="s">
        <v>116</v>
      </c>
      <c r="B15" s="53" t="n">
        <v>0.381062083778922</v>
      </c>
      <c r="C15" s="54" t="s">
        <v>117</v>
      </c>
    </row>
    <row r="16" customFormat="false" ht="18" hidden="false" customHeight="true" outlineLevel="0" collapsed="false">
      <c r="A16" s="48" t="s">
        <v>118</v>
      </c>
      <c r="B16" s="55" t="n">
        <v>0.775384626411624</v>
      </c>
      <c r="C16" s="56" t="s">
        <v>119</v>
      </c>
    </row>
    <row r="17" customFormat="false" ht="18" hidden="false" customHeight="true" outlineLevel="0" collapsed="false">
      <c r="A17" s="48" t="s">
        <v>120</v>
      </c>
      <c r="B17" s="55" t="n">
        <v>0.893705623121388</v>
      </c>
      <c r="C17" s="56" t="s">
        <v>121</v>
      </c>
    </row>
    <row r="19" customFormat="false" ht="19.5" hidden="false" customHeight="true" outlineLevel="0" collapsed="false">
      <c r="A19" s="7" t="s">
        <v>122</v>
      </c>
      <c r="B19" s="7"/>
      <c r="C19" s="7"/>
      <c r="D19" s="7"/>
      <c r="E19" s="7"/>
      <c r="F19" s="7"/>
      <c r="G19" s="7"/>
      <c r="H19" s="7"/>
    </row>
    <row r="20" customFormat="false" ht="27.75" hidden="false" customHeight="true" outlineLevel="0" collapsed="false">
      <c r="A20" s="8" t="s">
        <v>9</v>
      </c>
      <c r="B20" s="8" t="s">
        <v>123</v>
      </c>
      <c r="C20" s="8" t="s">
        <v>124</v>
      </c>
      <c r="D20" s="8" t="s">
        <v>125</v>
      </c>
      <c r="E20" s="8" t="s">
        <v>126</v>
      </c>
      <c r="F20" s="8" t="s">
        <v>127</v>
      </c>
      <c r="G20" s="8" t="s">
        <v>128</v>
      </c>
    </row>
    <row r="21" customFormat="false" ht="18" hidden="false" customHeight="true" outlineLevel="0" collapsed="false">
      <c r="A21" s="42" t="s">
        <v>22</v>
      </c>
      <c r="B21" s="44" t="n">
        <v>69522627.7400004</v>
      </c>
      <c r="C21" s="44" t="n">
        <v>18976502</v>
      </c>
      <c r="D21" s="43" t="n">
        <v>10850892</v>
      </c>
      <c r="E21" s="36" t="n">
        <v>-0.428193246574105</v>
      </c>
      <c r="F21" s="43" t="n">
        <v>2403565</v>
      </c>
      <c r="G21" s="57" t="s">
        <v>129</v>
      </c>
    </row>
    <row r="22" customFormat="false" ht="18" hidden="false" customHeight="true" outlineLevel="0" collapsed="false">
      <c r="A22" s="42" t="s">
        <v>23</v>
      </c>
      <c r="B22" s="44" t="n">
        <v>41419082.38</v>
      </c>
      <c r="C22" s="44" t="n">
        <v>12932135</v>
      </c>
      <c r="D22" s="43" t="n">
        <v>27041796</v>
      </c>
      <c r="E22" s="36" t="n">
        <v>1.091054261342</v>
      </c>
      <c r="F22" s="43" t="n">
        <v>3147347</v>
      </c>
      <c r="G22" s="57" t="s">
        <v>129</v>
      </c>
    </row>
    <row r="23" customFormat="false" ht="18" hidden="false" customHeight="true" outlineLevel="0" collapsed="false">
      <c r="A23" s="42" t="s">
        <v>24</v>
      </c>
      <c r="B23" s="44" t="n">
        <v>30522841.28</v>
      </c>
      <c r="C23" s="44" t="n">
        <v>6053856</v>
      </c>
      <c r="D23" s="43" t="n">
        <v>22204810.28</v>
      </c>
      <c r="E23" s="36" t="n">
        <v>2.66787883292896</v>
      </c>
      <c r="F23" s="43" t="n">
        <v>2979679</v>
      </c>
      <c r="G23" s="57" t="s">
        <v>129</v>
      </c>
    </row>
    <row r="24" customFormat="false" ht="18" hidden="false" customHeight="true" outlineLevel="0" collapsed="false">
      <c r="A24" s="23" t="s">
        <v>25</v>
      </c>
      <c r="B24" s="19" t="n">
        <v>15870087.35</v>
      </c>
      <c r="C24" s="19" t="n">
        <v>4270310</v>
      </c>
      <c r="D24" s="20" t="n">
        <v>3984735</v>
      </c>
      <c r="E24" s="21" t="n">
        <v>-0.066874536040709</v>
      </c>
      <c r="F24" s="19" t="n">
        <v>0</v>
      </c>
      <c r="G24" s="58" t="s">
        <v>130</v>
      </c>
    </row>
    <row r="25" customFormat="false" ht="18" hidden="false" customHeight="true" outlineLevel="0" collapsed="false">
      <c r="A25" s="56" t="s">
        <v>26</v>
      </c>
      <c r="B25" s="50" t="n">
        <v>5716911.09</v>
      </c>
      <c r="C25" s="50" t="n">
        <v>1198870</v>
      </c>
      <c r="D25" s="49" t="n">
        <v>0</v>
      </c>
      <c r="E25" s="37" t="n">
        <v>-1</v>
      </c>
      <c r="F25" s="50" t="n">
        <v>0</v>
      </c>
      <c r="G25" s="59" t="s">
        <v>131</v>
      </c>
    </row>
    <row r="26" customFormat="false" ht="18" hidden="false" customHeight="true" outlineLevel="0" collapsed="false">
      <c r="A26" s="56" t="s">
        <v>27</v>
      </c>
      <c r="B26" s="50" t="n">
        <v>4835663.43</v>
      </c>
      <c r="C26" s="50" t="n">
        <v>1288598.6</v>
      </c>
      <c r="D26" s="49" t="n">
        <v>0</v>
      </c>
      <c r="E26" s="37" t="n">
        <v>-1</v>
      </c>
      <c r="F26" s="50" t="n">
        <v>0</v>
      </c>
      <c r="G26" s="59" t="s">
        <v>131</v>
      </c>
    </row>
    <row r="27" customFormat="false" ht="18" hidden="false" customHeight="true" outlineLevel="0" collapsed="false">
      <c r="A27" s="23" t="s">
        <v>28</v>
      </c>
      <c r="B27" s="19" t="n">
        <v>4401416.73</v>
      </c>
      <c r="C27" s="19" t="n">
        <v>1828523</v>
      </c>
      <c r="D27" s="20" t="n">
        <v>1451420</v>
      </c>
      <c r="E27" s="21" t="n">
        <v>-0.206233665094724</v>
      </c>
      <c r="F27" s="19" t="n">
        <v>0</v>
      </c>
      <c r="G27" s="58" t="s">
        <v>130</v>
      </c>
    </row>
    <row r="28" customFormat="false" ht="18" hidden="false" customHeight="true" outlineLevel="0" collapsed="false">
      <c r="A28" s="56" t="s">
        <v>29</v>
      </c>
      <c r="B28" s="50" t="n">
        <v>3404336.18</v>
      </c>
      <c r="C28" s="50" t="n">
        <v>3398493.18</v>
      </c>
      <c r="D28" s="49" t="n">
        <v>0</v>
      </c>
      <c r="E28" s="37" t="n">
        <v>-1</v>
      </c>
      <c r="F28" s="50" t="n">
        <v>0</v>
      </c>
      <c r="G28" s="59" t="s">
        <v>131</v>
      </c>
    </row>
    <row r="29" customFormat="false" ht="18" hidden="false" customHeight="true" outlineLevel="0" collapsed="false">
      <c r="A29" s="42" t="s">
        <v>30</v>
      </c>
      <c r="B29" s="44" t="n">
        <v>2428847</v>
      </c>
      <c r="C29" s="44" t="n">
        <v>729398</v>
      </c>
      <c r="D29" s="43" t="n">
        <v>1699449</v>
      </c>
      <c r="E29" s="36" t="n">
        <v>1.3299337261687</v>
      </c>
      <c r="F29" s="43" t="n">
        <v>382216</v>
      </c>
      <c r="G29" s="57" t="s">
        <v>129</v>
      </c>
    </row>
    <row r="30" customFormat="false" ht="18" hidden="false" customHeight="true" outlineLevel="0" collapsed="false">
      <c r="A30" s="42" t="s">
        <v>31</v>
      </c>
      <c r="B30" s="44" t="n">
        <v>1953561.68</v>
      </c>
      <c r="C30" s="44" t="n">
        <v>236599</v>
      </c>
      <c r="D30" s="43" t="n">
        <v>1626333</v>
      </c>
      <c r="E30" s="36" t="n">
        <v>5.87379490192266</v>
      </c>
      <c r="F30" s="43" t="n">
        <v>344820</v>
      </c>
      <c r="G30" s="57" t="s">
        <v>129</v>
      </c>
    </row>
    <row r="31" customFormat="false" ht="18" hidden="false" customHeight="true" outlineLevel="0" collapsed="false">
      <c r="A31" s="56" t="s">
        <v>32</v>
      </c>
      <c r="B31" s="50" t="n">
        <v>1634916.53</v>
      </c>
      <c r="C31" s="50" t="n">
        <v>1634916.53</v>
      </c>
      <c r="D31" s="49" t="n">
        <v>0</v>
      </c>
      <c r="E31" s="37" t="n">
        <v>-1</v>
      </c>
      <c r="F31" s="50" t="n">
        <v>0</v>
      </c>
      <c r="G31" s="59" t="s">
        <v>131</v>
      </c>
    </row>
    <row r="32" customFormat="false" ht="18" hidden="false" customHeight="true" outlineLevel="0" collapsed="false">
      <c r="A32" s="42" t="s">
        <v>33</v>
      </c>
      <c r="B32" s="44" t="n">
        <v>574846.94</v>
      </c>
      <c r="C32" s="44" t="n">
        <v>10998</v>
      </c>
      <c r="D32" s="43" t="n">
        <v>148178.2</v>
      </c>
      <c r="E32" s="36" t="n">
        <v>12.4731951263866</v>
      </c>
      <c r="F32" s="43" t="n">
        <v>120721.2</v>
      </c>
      <c r="G32" s="57" t="s">
        <v>129</v>
      </c>
    </row>
    <row r="33" customFormat="false" ht="18" hidden="false" customHeight="true" outlineLevel="0" collapsed="false">
      <c r="A33" s="56" t="s">
        <v>34</v>
      </c>
      <c r="B33" s="50" t="n">
        <v>119500</v>
      </c>
      <c r="C33" s="50" t="n">
        <v>0</v>
      </c>
      <c r="D33" s="49" t="n">
        <v>0</v>
      </c>
      <c r="E33" s="52" t="s">
        <v>132</v>
      </c>
      <c r="F33" s="50" t="n">
        <v>0</v>
      </c>
      <c r="G33" s="59" t="s">
        <v>131</v>
      </c>
    </row>
    <row r="34" customFormat="false" ht="18" hidden="false" customHeight="true" outlineLevel="0" collapsed="false">
      <c r="A34" s="23" t="s">
        <v>35</v>
      </c>
      <c r="B34" s="19" t="n">
        <v>39721</v>
      </c>
      <c r="C34" s="19" t="n">
        <v>27416</v>
      </c>
      <c r="D34" s="20" t="n">
        <v>12305</v>
      </c>
      <c r="E34" s="21" t="n">
        <v>-0.551174496644295</v>
      </c>
      <c r="F34" s="19" t="n">
        <v>0</v>
      </c>
      <c r="G34" s="58" t="s">
        <v>130</v>
      </c>
    </row>
    <row r="36" customFormat="false" ht="19.5" hidden="false" customHeight="true" outlineLevel="0" collapsed="false">
      <c r="A36" s="7" t="s">
        <v>133</v>
      </c>
      <c r="B36" s="7"/>
      <c r="C36" s="7"/>
      <c r="D36" s="7"/>
      <c r="E36" s="7"/>
      <c r="F36" s="7"/>
      <c r="G36" s="7"/>
      <c r="H36" s="7"/>
    </row>
    <row r="37" customFormat="false" ht="15" hidden="false" customHeight="true" outlineLevel="0" collapsed="false">
      <c r="A37" s="25" t="s">
        <v>134</v>
      </c>
      <c r="B37" s="25"/>
      <c r="C37" s="25"/>
      <c r="D37" s="25"/>
      <c r="E37" s="25"/>
      <c r="F37" s="25"/>
      <c r="G37" s="25"/>
      <c r="H37" s="25"/>
    </row>
    <row r="38" customFormat="false" ht="27.75" hidden="false" customHeight="true" outlineLevel="0" collapsed="false">
      <c r="A38" s="24" t="s">
        <v>135</v>
      </c>
      <c r="B38" s="24"/>
      <c r="C38" s="24"/>
      <c r="D38" s="24"/>
      <c r="E38" s="24"/>
      <c r="F38" s="24"/>
      <c r="G38" s="24"/>
      <c r="H38" s="24"/>
    </row>
    <row r="39" customFormat="false" ht="27.75" hidden="false" customHeight="true" outlineLevel="0" collapsed="false">
      <c r="A39" s="23" t="s">
        <v>136</v>
      </c>
      <c r="B39" s="23"/>
      <c r="C39" s="23"/>
      <c r="D39" s="23"/>
      <c r="E39" s="23"/>
      <c r="F39" s="23"/>
      <c r="G39" s="23"/>
      <c r="H39" s="23"/>
    </row>
    <row r="40" customFormat="false" ht="27.75" hidden="false" customHeight="true" outlineLevel="0" collapsed="false">
      <c r="A40" s="24" t="s">
        <v>137</v>
      </c>
      <c r="B40" s="24"/>
      <c r="C40" s="24"/>
      <c r="D40" s="24"/>
      <c r="E40" s="24"/>
      <c r="F40" s="24"/>
      <c r="G40" s="24"/>
      <c r="H40" s="24"/>
    </row>
    <row r="41" customFormat="false" ht="27.75" hidden="false" customHeight="true" outlineLevel="0" collapsed="false">
      <c r="A41" s="23" t="s">
        <v>138</v>
      </c>
      <c r="B41" s="23"/>
      <c r="C41" s="23"/>
      <c r="D41" s="23"/>
      <c r="E41" s="23"/>
      <c r="F41" s="23"/>
      <c r="G41" s="23"/>
      <c r="H41" s="23"/>
    </row>
    <row r="42" customFormat="false" ht="27.75" hidden="false" customHeight="true" outlineLevel="0" collapsed="false">
      <c r="A42" s="24" t="s">
        <v>139</v>
      </c>
      <c r="B42" s="24"/>
      <c r="C42" s="24"/>
      <c r="D42" s="24"/>
      <c r="E42" s="24"/>
      <c r="F42" s="24"/>
      <c r="G42" s="24"/>
      <c r="H42" s="24"/>
    </row>
    <row r="43" customFormat="false" ht="27.75" hidden="false" customHeight="true" outlineLevel="0" collapsed="false">
      <c r="A43" s="23" t="s">
        <v>140</v>
      </c>
      <c r="B43" s="23"/>
      <c r="C43" s="23"/>
      <c r="D43" s="23"/>
      <c r="E43" s="23"/>
      <c r="F43" s="23"/>
      <c r="G43" s="23"/>
      <c r="H43" s="23"/>
    </row>
    <row r="44" customFormat="false" ht="27.75" hidden="false" customHeight="true" outlineLevel="0" collapsed="false">
      <c r="A44" s="24" t="s">
        <v>141</v>
      </c>
      <c r="B44" s="24"/>
      <c r="C44" s="24"/>
      <c r="D44" s="24"/>
      <c r="E44" s="24"/>
      <c r="F44" s="24"/>
      <c r="G44" s="24"/>
      <c r="H44" s="24"/>
    </row>
    <row r="45" customFormat="false" ht="27.75" hidden="false" customHeight="true" outlineLevel="0" collapsed="false">
      <c r="A45" s="23" t="s">
        <v>142</v>
      </c>
      <c r="B45" s="23"/>
      <c r="C45" s="23"/>
      <c r="D45" s="23"/>
      <c r="E45" s="23"/>
      <c r="F45" s="23"/>
      <c r="G45" s="23"/>
      <c r="H45" s="23"/>
    </row>
  </sheetData>
  <mergeCells count="14">
    <mergeCell ref="A1:H1"/>
    <mergeCell ref="A3:H3"/>
    <mergeCell ref="A13:H13"/>
    <mergeCell ref="A19:H19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2026-05-30T11:55:07Z</dcterms:created>
  <dc:creator>openpyxl</dc:creator>
  <dc:description/>
  <dc:language>en-US</dc:language>
  <cp:lastModifiedBy/>
  <dcterms:modified xsi:type="dcterms:W3CDTF">2026-05-30T11:55:09Z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