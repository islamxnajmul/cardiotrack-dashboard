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40" windowHeight="11180" firstSheet="2" activeTab="6"/>
  </bookViews>
  <sheets>
    <sheet name="Dashboard" sheetId="1" r:id="rId1"/>
    <sheet name="Month-Wise Revenue" sheetId="2" r:id="rId2"/>
    <sheet name="Customer Revenue" sheetId="3" r:id="rId3"/>
    <sheet name="Pipeline Health" sheetId="4" r:id="rId4"/>
    <sheet name="Existing vs Prospect" sheetId="5" r:id="rId5"/>
    <sheet name="Key Actions" sheetId="6" r:id="rId6"/>
    <sheet name="Order Pipelin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<sst xmlns="http://schemas.openxmlformats.org/spreadsheetml/2006/main" count="589" uniqueCount="310">
  <si>
    <t>CARDIOTRACK  |  Q2 FY2026 SALES DASHBOARD  (Apr - Jun 2026)</t>
  </si>
  <si>
    <t>Quarter Target: Rs.2,00,00,000  |  Existing Baseline: Rs.1,50,00,000  |  Delta Required: Rs.50,00,000  |  As of: 14 May 2026</t>
  </si>
  <si>
    <t>Q2 TARGET
Rs.2,00,00,000
Apr-Jun 2026</t>
  </si>
  <si>
    <t>APRIL ACHIEVED
Rs.49,52,222
100% Realized</t>
  </si>
  <si>
    <t>MAY (Till 12 May)
Rs.16,67,502
Partial - 12 days</t>
  </si>
  <si>
    <t>Q2 SO FAR
Rs.66,19,724
33.1% of Target</t>
  </si>
  <si>
    <t>GAP TO TARGET
Rs.1,33,80,276
Remaining</t>
  </si>
  <si>
    <t xml:space="preserve">  MONTH-WISE REVENUE  (Q2 FY2026)</t>
  </si>
  <si>
    <t xml:space="preserve">  CUSTOMER-WISE REVENUE  (April 2026 Realized)</t>
  </si>
  <si>
    <t>Month</t>
  </si>
  <si>
    <t>2025 Actual (Rs.)</t>
  </si>
  <si>
    <t>2026 Target (Rs.)</t>
  </si>
  <si>
    <t>2026 Achieved (Rs.)</t>
  </si>
  <si>
    <t>Achievement %</t>
  </si>
  <si>
    <t>Gap (Rs.)</t>
  </si>
  <si>
    <t>Status</t>
  </si>
  <si>
    <t>Insurer</t>
  </si>
  <si>
    <t>Closed Cases</t>
  </si>
  <si>
    <t>Revenue (Rs.)</t>
  </si>
  <si>
    <t>Avg/Order (Rs.)</t>
  </si>
  <si>
    <t>Share %</t>
  </si>
  <si>
    <t>Type</t>
  </si>
  <si>
    <t>April 2026</t>
  </si>
  <si>
    <t>Realized</t>
  </si>
  <si>
    <t>Aditya Birla Sun Life</t>
  </si>
  <si>
    <t>Existing</t>
  </si>
  <si>
    <t>May 2026</t>
  </si>
  <si>
    <t>In Progress (12 days)</t>
  </si>
  <si>
    <t>Bajaj Life Insurance</t>
  </si>
  <si>
    <t>June 2026</t>
  </si>
  <si>
    <t>Not Started</t>
  </si>
  <si>
    <t>ICICI Lombard</t>
  </si>
  <si>
    <t>Q2 TOTAL</t>
  </si>
  <si>
    <t>Target: Rs.2Cr</t>
  </si>
  <si>
    <t>Star Union Daichi</t>
  </si>
  <si>
    <t>Ageas Federal Life</t>
  </si>
  <si>
    <t xml:space="preserve">  Q2 REVENUE PROGRESS TRACKER</t>
  </si>
  <si>
    <t>Metric</t>
  </si>
  <si>
    <t>Value (Rs.)</t>
  </si>
  <si>
    <t>% of Rs.2Cr Target</t>
  </si>
  <si>
    <t>Visual Progress (Data Bar)</t>
  </si>
  <si>
    <t>Cardiotrack Home Svc</t>
  </si>
  <si>
    <t>April Revenue (Realized)</t>
  </si>
  <si>
    <t/>
  </si>
  <si>
    <t>TOTAL</t>
  </si>
  <si>
    <t>May Revenue (Partial 12d)</t>
  </si>
  <si>
    <t>Existing Baseline (Q2 Est)</t>
  </si>
  <si>
    <t>Delta Pipeline (Weighted)</t>
  </si>
  <si>
    <t>MONTH-WISE REVENUE ANALYSIS  |  Q2 FY2026  |  Cardiotrack</t>
  </si>
  <si>
    <t>2024 Actual (Rs.)</t>
  </si>
  <si>
    <t>Remaining (Rs.)</t>
  </si>
  <si>
    <t>April</t>
  </si>
  <si>
    <t>May</t>
  </si>
  <si>
    <t>In Progress</t>
  </si>
  <si>
    <t>June</t>
  </si>
  <si>
    <t>Q2 Total</t>
  </si>
  <si>
    <t>31.2% Complete</t>
  </si>
  <si>
    <t xml:space="preserve">  MONTHLY REVENUE TREND  (Last 15 Months)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</si>
  <si>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</si>
  <si>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</si>
  <si>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</si>
  <si>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</si>
  <si>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</si>
  <si>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</si>
  <si>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</si>
  <si>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</si>
  <si>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</si>
  <si>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</si>
  <si>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</si>
  <si>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</si>
  <si>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</si>
  <si>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</si>
  <si>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2026*</t>
  </si>
  <si>
    <t>CUSTOMER-WISE REVENUE ANALYSIS  |  Q2 FY2026</t>
  </si>
  <si>
    <t xml:space="preserve">  APRIL 2026 - REALIZED REVENUE BY CUSTOMER</t>
  </si>
  <si>
    <t>Insurer Name</t>
  </si>
  <si>
    <t>Incoming</t>
  </si>
  <si>
    <t>Closed</t>
  </si>
  <si>
    <t>Conv %</t>
  </si>
  <si>
    <t>Avg Order Rs.</t>
  </si>
  <si>
    <t>Apr Rev Rs.</t>
  </si>
  <si>
    <t>May Target Rs.</t>
  </si>
  <si>
    <t>Jun Target Rs.</t>
  </si>
  <si>
    <t>Q2 Target Rs.</t>
  </si>
  <si>
    <t>Q2 Share %</t>
  </si>
  <si>
    <t>Pramerica Life</t>
  </si>
  <si>
    <t>Canara HSBC</t>
  </si>
  <si>
    <t>PIPELINE HEALTH  -  DELTA Rs.50 LAKH TRACKER  |  Q2 FY2026</t>
  </si>
  <si>
    <t>Baseline Rs.1.5Cr secured from existing business  |  Delta Rs.50L pipeline weighted value: Rs.51.1L  |  Total: Rs.5.11Cr pipeline</t>
  </si>
  <si>
    <t xml:space="preserve">  MAY 2026  -  DELTA PIPELINE (Existing Customers)</t>
  </si>
  <si>
    <t>Opportunity</t>
  </si>
  <si>
    <t>Delta Amount Rs.</t>
  </si>
  <si>
    <t>Probability</t>
  </si>
  <si>
    <t>Weighted Rev Rs.</t>
  </si>
  <si>
    <t>Add Closed Orders</t>
  </si>
  <si>
    <t>Add Incoming Orders</t>
  </si>
  <si>
    <t>Key Action</t>
  </si>
  <si>
    <t>Owner</t>
  </si>
  <si>
    <t>Heat</t>
  </si>
  <si>
    <t>ABSLI - May</t>
  </si>
  <si>
    <t>Auto</t>
  </si>
  <si>
    <t>High</t>
  </si>
  <si>
    <t>Ageas Federal - May</t>
  </si>
  <si>
    <t>Meet Anurag</t>
  </si>
  <si>
    <t>Anurag</t>
  </si>
  <si>
    <t>Medium</t>
  </si>
  <si>
    <t>Bajaj Life - May</t>
  </si>
  <si>
    <t>Call Aditya; Meet Anil</t>
  </si>
  <si>
    <t>Anil</t>
  </si>
  <si>
    <t>Canara HSBC - May</t>
  </si>
  <si>
    <t>Unblock API - Sumit is key</t>
  </si>
  <si>
    <t>Sumit</t>
  </si>
  <si>
    <t>Blocked</t>
  </si>
  <si>
    <t>ICICI Lombard - May</t>
  </si>
  <si>
    <t>Meet Santosh &amp; Rajani</t>
  </si>
  <si>
    <t>Santosh</t>
  </si>
  <si>
    <t>Pramerica - May</t>
  </si>
  <si>
    <t>Call Prem</t>
  </si>
  <si>
    <t>Prem</t>
  </si>
  <si>
    <t>SUD Life - May</t>
  </si>
  <si>
    <t>No escalations at order level</t>
  </si>
  <si>
    <t>George</t>
  </si>
  <si>
    <t>Bajaj AI ECG Dev-May</t>
  </si>
  <si>
    <t>Press release; push Bajaj integration</t>
  </si>
  <si>
    <t>Aditya</t>
  </si>
  <si>
    <t>MAY TOTAL</t>
  </si>
  <si>
    <t xml:space="preserve">  JUNE 2026  -  DELTA PIPELINE (Existing + Prospects)</t>
  </si>
  <si>
    <t>ABSLI - June</t>
  </si>
  <si>
    <t>Ageas Federal - June</t>
  </si>
  <si>
    <t>Bajaj Life - June</t>
  </si>
  <si>
    <t>Canara HSBC - June</t>
  </si>
  <si>
    <t>Unblock by May 20</t>
  </si>
  <si>
    <t>Critical</t>
  </si>
  <si>
    <t>ICICI Lombard - June</t>
  </si>
  <si>
    <t>Pincode expansion</t>
  </si>
  <si>
    <t>Pramerica - June</t>
  </si>
  <si>
    <t>SUD Life - June</t>
  </si>
  <si>
    <t>George follow-up</t>
  </si>
  <si>
    <t>TATA AIA - June</t>
  </si>
  <si>
    <t>Prospect</t>
  </si>
  <si>
    <t>Meet Siddeshwar</t>
  </si>
  <si>
    <t>Siddeshwar</t>
  </si>
  <si>
    <t>Low Prob</t>
  </si>
  <si>
    <t>TATA AIA AI ECG Dev</t>
  </si>
  <si>
    <t>TATA AIA AI ECG</t>
  </si>
  <si>
    <t>Bajaj AI ECG - June</t>
  </si>
  <si>
    <t>Vortex ECG</t>
  </si>
  <si>
    <t>Confirmed</t>
  </si>
  <si>
    <t>Thyrocare ECG</t>
  </si>
  <si>
    <t>Lupin ECG</t>
  </si>
  <si>
    <t>Corporate Camp</t>
  </si>
  <si>
    <t>Broker Revenue</t>
  </si>
  <si>
    <t>Pipeline initiative</t>
  </si>
  <si>
    <t>JUNE TOTAL</t>
  </si>
  <si>
    <t>ABSLI May+Jun</t>
  </si>
  <si>
    <t>Bajaj Life May+Jun</t>
  </si>
  <si>
    <t>Canara HSBC May+Jun</t>
  </si>
  <si>
    <t>SUD Life May+Jun</t>
  </si>
  <si>
    <t>Bajaj AI ECG May+Jun</t>
  </si>
  <si>
    <t>June Prospects</t>
  </si>
  <si>
    <t>EXISTING CUSTOMER vs PROSPECT REVENUE  |  Q2 FY2026</t>
  </si>
  <si>
    <t xml:space="preserve">  EXISTING CUSTOMERS - Q2 FY2026 REVENUE</t>
  </si>
  <si>
    <t>Apr 2026 Rs.</t>
  </si>
  <si>
    <t>Q2 Total Rs.</t>
  </si>
  <si>
    <t>Wtd Pipeline Rs.</t>
  </si>
  <si>
    <t>YoY vs 2025</t>
  </si>
  <si>
    <t>Trend</t>
  </si>
  <si>
    <t>+29%</t>
  </si>
  <si>
    <t>Up</t>
  </si>
  <si>
    <t>+35%</t>
  </si>
  <si>
    <t>+18%</t>
  </si>
  <si>
    <t>+47%</t>
  </si>
  <si>
    <t>+16%</t>
  </si>
  <si>
    <t>Flat</t>
  </si>
  <si>
    <t>N/A</t>
  </si>
  <si>
    <t>New</t>
  </si>
  <si>
    <t>+23%</t>
  </si>
  <si>
    <t>TOTAL EXISTING</t>
  </si>
  <si>
    <t>+28%</t>
  </si>
  <si>
    <t xml:space="preserve">  PROSPECTS - Q2 FY2026 PIPELINE (June 2026)</t>
  </si>
  <si>
    <t>Prospect / Opportunity</t>
  </si>
  <si>
    <t>Potential Rs.</t>
  </si>
  <si>
    <t>Target Month</t>
  </si>
  <si>
    <t>TATA AIA Cardiology</t>
  </si>
  <si>
    <t>New Prospect</t>
  </si>
  <si>
    <t>Early Stage</t>
  </si>
  <si>
    <t>Negotiation</t>
  </si>
  <si>
    <t>Bajaj AI ECG</t>
  </si>
  <si>
    <t>AI / Tech</t>
  </si>
  <si>
    <t>High Prob</t>
  </si>
  <si>
    <t>New Account</t>
  </si>
  <si>
    <t>In Discussion</t>
  </si>
  <si>
    <t>Corporate Camps</t>
  </si>
  <si>
    <t>New Vertical</t>
  </si>
  <si>
    <t>New Channel</t>
  </si>
  <si>
    <t>TOTAL PROSPECTS</t>
  </si>
  <si>
    <t xml:space="preserve">  SUMMARY: EXISTING vs PROSPECT CONTRIBUTION TO DELTA Rs.50L</t>
  </si>
  <si>
    <t>Source</t>
  </si>
  <si>
    <t>Weighted Revenue Rs.</t>
  </si>
  <si>
    <t>% of Delta Rs.50L</t>
  </si>
  <si>
    <t>Notes</t>
  </si>
  <si>
    <t>Existing Customers - May Delta</t>
  </si>
  <si>
    <t>High probability avg 77%</t>
  </si>
  <si>
    <t>Existing Customers - June Delta</t>
  </si>
  <si>
    <t>Medium-High avg 79%</t>
  </si>
  <si>
    <t>Prospects - June</t>
  </si>
  <si>
    <t>Mixed probability 20-100%</t>
  </si>
  <si>
    <t>TOTAL WEIGHTED PIPELINE</t>
  </si>
  <si>
    <t>Covers Delta + buffer</t>
  </si>
  <si>
    <t>KEY ACTION ITEMS  |  Q2 FY2026 DELTA Rs.50L DRIVE  &lt;- UPDATE THIS SHEET</t>
  </si>
  <si>
    <t>UPDATE: Probability %, Status, and Key Action columns regularly. Add new action items as needed.</t>
  </si>
  <si>
    <t xml:space="preserve">  KEY GROWTH INITIATIVES  (Strategic Actions for Delta Rs.50L)</t>
  </si>
  <si>
    <t>Initiative</t>
  </si>
  <si>
    <t>Customer / Prospect</t>
  </si>
  <si>
    <t>Probability
(update)</t>
  </si>
  <si>
    <t>Weighted Rs.</t>
  </si>
  <si>
    <t>Owner / POC</t>
  </si>
  <si>
    <t>Key Action Required</t>
  </si>
  <si>
    <t>Deadline</t>
  </si>
  <si>
    <t>Status
(update)</t>
  </si>
  <si>
    <t>Canara HSBC API Unblock</t>
  </si>
  <si>
    <t>Escalate API unblock immediately. Block by May 20 deadline.</t>
  </si>
  <si>
    <t>20-May-26</t>
  </si>
  <si>
    <t>Bajaj Volume: 30 to 56/day</t>
  </si>
  <si>
    <t>Anil/Aditya</t>
  </si>
  <si>
    <t>Call Aditya re: allocation. Meet Anil to confirm 56/day.</t>
  </si>
  <si>
    <t>15-May-26</t>
  </si>
  <si>
    <t>Bajaj AI ECG Dev</t>
  </si>
  <si>
    <t>Press release readiness. Confirm billing trigger with Bajaj.</t>
  </si>
  <si>
    <t>On Track</t>
  </si>
  <si>
    <t>SUD Life: Escalation-Free</t>
  </si>
  <si>
    <t>Zero escalations/rejections at order level throughout May.</t>
  </si>
  <si>
    <t>31-May-26</t>
  </si>
  <si>
    <t>Monitor</t>
  </si>
  <si>
    <t>ICICI Pincode Expansion</t>
  </si>
  <si>
    <t>Santosh/Rajani</t>
  </si>
  <si>
    <t>Meet Santosh - confirm pincode list expansion timeline.</t>
  </si>
  <si>
    <t>18-May-26</t>
  </si>
  <si>
    <t>Pending</t>
  </si>
  <si>
    <t>Ageas Volume Drive</t>
  </si>
  <si>
    <t>Anurag/Ambika</t>
  </si>
  <si>
    <t>Meet Anurag. Coordinate with Puneet on volumes.</t>
  </si>
  <si>
    <t>16-May-26</t>
  </si>
  <si>
    <t>Tata AIG Restart</t>
  </si>
  <si>
    <t>TATA AIG</t>
  </si>
  <si>
    <t>Jun</t>
  </si>
  <si>
    <t>Meet Siddeshwar to restart. Confirm cardio product fit.</t>
  </si>
  <si>
    <t>01-Jun-26</t>
  </si>
  <si>
    <t>Canara HSBC Full Unlock</t>
  </si>
  <si>
    <t>After May unblock - ramp to Rs.5L/month.</t>
  </si>
  <si>
    <t>Dependent</t>
  </si>
  <si>
    <t>Bajaj Sustained Volume</t>
  </si>
  <si>
    <t>Sustain 56/day allocation; target Rs.20L+ billing June.</t>
  </si>
  <si>
    <t>30-Jun-26</t>
  </si>
  <si>
    <t>ABSLI Scale-up</t>
  </si>
  <si>
    <t>Auto/AM</t>
  </si>
  <si>
    <t>Monitor conversion rate; maintain 43%+ conversion.</t>
  </si>
  <si>
    <t>Bajaj AI ECG June</t>
  </si>
  <si>
    <t>Full billing trigger for AI ECG Dev product in June.</t>
  </si>
  <si>
    <t>15-Jun-26</t>
  </si>
  <si>
    <t>Vortex</t>
  </si>
  <si>
    <t>Confirmed - ensure billing dispatch on time.</t>
  </si>
  <si>
    <t>Lupin</t>
  </si>
  <si>
    <t>Follow up on pilot scope and billing timeline.</t>
  </si>
  <si>
    <t>Close 2-3 corporate camp clients. Push via broker channel.</t>
  </si>
  <si>
    <t>Broker Revenue Initiative</t>
  </si>
  <si>
    <t>Identify 2 anchor brokers; sign agreements this month.</t>
  </si>
  <si>
    <t>ORDER PIPELINE HEALTH  -  INCOMING vs CLOSED ORDERS  |  Apr &amp; May 2026</t>
  </si>
  <si>
    <t xml:space="preserve">  APRIL 2026 - ORDER PIPELINE BY INSURER</t>
  </si>
  <si>
    <t>Revenue Rs.</t>
  </si>
  <si>
    <t>Avg/Order Rs.</t>
  </si>
  <si>
    <t>Open Orders</t>
  </si>
  <si>
    <t>Action Required</t>
  </si>
  <si>
    <t>43% conv</t>
  </si>
  <si>
    <t>Improve conversion - target 55%+</t>
  </si>
  <si>
    <t>86% conv</t>
  </si>
  <si>
    <t>Maintain; push allocation to 56/day</t>
  </si>
  <si>
    <t>78% conv</t>
  </si>
  <si>
    <t>Pincode expansion to add volume</t>
  </si>
  <si>
    <t>51% conv</t>
  </si>
  <si>
    <t>Reduce rejections - George to own</t>
  </si>
  <si>
    <t>56% conv</t>
  </si>
  <si>
    <t>Volume push with Anurag</t>
  </si>
  <si>
    <t>BLOCKED</t>
  </si>
  <si>
    <t>API unblock - critical by May 20</t>
  </si>
  <si>
    <t>30% conv</t>
  </si>
  <si>
    <t>Call Prem - low conversion issue</t>
  </si>
  <si>
    <t>TOTAL APR 2026</t>
  </si>
  <si>
    <t xml:space="preserve">  MAY 2026 (Till 12 May) - ORDER PIPELINE BY INSURER</t>
  </si>
  <si>
    <t>32% conv</t>
  </si>
  <si>
    <t>Drive conversion - target 43%+</t>
  </si>
  <si>
    <t>54% conv</t>
  </si>
  <si>
    <t>Push to 86% Apr rate</t>
  </si>
  <si>
    <t>47% conv</t>
  </si>
  <si>
    <t>Improve; pincode expansion</t>
  </si>
  <si>
    <t>36% conv</t>
  </si>
  <si>
    <t>Low volume - George to escalate</t>
  </si>
  <si>
    <t>40% conv</t>
  </si>
  <si>
    <t>Anurag follow-up</t>
  </si>
  <si>
    <t>Very Low</t>
  </si>
  <si>
    <t>Check with Prem</t>
  </si>
  <si>
    <t>TOTAL MAY (12 days)</t>
  </si>
  <si>
    <t>Incoming (Apr)</t>
  </si>
  <si>
    <t>Closed (Apr)</t>
  </si>
  <si>
    <t>ABSLI</t>
  </si>
  <si>
    <t>Bajaj</t>
  </si>
  <si>
    <t>ICICI</t>
  </si>
  <si>
    <t>SUD</t>
  </si>
  <si>
    <t>Ageas</t>
  </si>
  <si>
    <t>Pramerica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</si>
</sst>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  <numFmt numFmtId="177" formatCode="\Rs.\,\0"/>
    <numFmt numFmtId="178" formatCode="[$₹-44A]#,##0;[$₹-44A]\-#,##0"/>
    <numFmt numFmtId="179" formatCode="0.0&quot;%&quot;"/>
  </numFmts>
  <fonts count="32">
    <font>
      <sz val="11"/>
      <color theme="1"/>
      <name val="Calibri"/>
      <charset val="134"/>
      <scheme val="minor"/>
    </font>
    <font>
      <b/>
      <sz val="13"/>
      <color rgb="FFFFFFFF"/>
      <name val="Calibri"/>
      <charset val="134"/>
    </font>
    <font>
      <b/>
      <sz val="11"/>
      <color rgb="FFFFFFFF"/>
      <name val="Calibri"/>
      <charset val="134"/>
    </font>
    <font>
      <b/>
      <sz val="10"/>
      <color rgb="FFFFFFFF"/>
      <name val="Calibri"/>
      <charset val="134"/>
    </font>
    <font>
      <sz val="10"/>
      <color rgb="FF000000"/>
      <name val="Calibri"/>
      <charset val="134"/>
    </font>
    <font>
      <sz val="10"/>
      <color rgb="FF1A5276"/>
      <name val="Calibri"/>
      <charset val="134"/>
    </font>
    <font>
      <b/>
      <sz val="10"/>
      <color rgb="FF0D1B2A"/>
      <name val="Calibri"/>
      <charset val="134"/>
    </font>
    <font>
      <b/>
      <sz val="9"/>
      <color rgb="FFFFFFFF"/>
      <name val="Calibri"/>
      <charset val="134"/>
    </font>
    <font>
      <b/>
      <sz val="14"/>
      <color rgb="FFFFFFFF"/>
      <name val="Calibri"/>
      <charset val="134"/>
    </font>
    <font>
      <b/>
      <sz val="10"/>
      <color rgb="FF1A5276"/>
      <name val="Calibri"/>
      <charset val="134"/>
    </font>
    <font>
      <sz val="10"/>
      <color rgb="FFFFFFFF"/>
      <name val="Calibri"/>
      <charset val="134"/>
    </font>
    <font>
      <b/>
      <sz val="16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A838"/>
        <bgColor indexed="64"/>
      </patternFill>
    </fill>
    <fill>
      <patternFill patternType="solid">
        <fgColor rgb="FF117A65"/>
        <bgColor indexed="64"/>
      </patternFill>
    </fill>
    <fill>
      <patternFill patternType="solid">
        <fgColor rgb="FF1B7F79"/>
        <bgColor indexed="64"/>
      </patternFill>
    </fill>
    <fill>
      <patternFill patternType="solid">
        <fgColor rgb="FF1B6CA8"/>
        <bgColor indexed="64"/>
      </patternFill>
    </fill>
    <fill>
      <patternFill patternType="solid">
        <fgColor rgb="FFCB43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4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23" fillId="16" borderId="7" applyNumberFormat="0" applyAlignment="0" applyProtection="0">
      <alignment vertical="center"/>
    </xf>
    <xf numFmtId="0" fontId="24" fillId="17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</cellStyleXfs>
  <cellXfs count="8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176" fontId="5" fillId="7" borderId="1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176" fontId="5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9" fontId="4" fillId="6" borderId="1" xfId="0" applyNumberFormat="1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77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77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177" fontId="9" fillId="7" borderId="1" xfId="0" applyNumberFormat="1" applyFont="1" applyFill="1" applyBorder="1" applyAlignment="1">
      <alignment horizontal="center" vertical="center" wrapText="1"/>
    </xf>
    <xf numFmtId="9" fontId="9" fillId="7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177" fontId="9" fillId="8" borderId="1" xfId="0" applyNumberFormat="1" applyFont="1" applyFill="1" applyBorder="1" applyAlignment="1">
      <alignment horizontal="center" vertical="center" wrapText="1"/>
    </xf>
    <xf numFmtId="9" fontId="9" fillId="8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178" fontId="4" fillId="6" borderId="1" xfId="0" applyNumberFormat="1" applyFont="1" applyFill="1" applyBorder="1" applyAlignment="1">
      <alignment horizontal="center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1" fontId="9" fillId="8" borderId="1" xfId="0" applyNumberFormat="1" applyFont="1" applyFill="1" applyBorder="1" applyAlignment="1">
      <alignment horizontal="center" vertical="center" wrapText="1"/>
    </xf>
    <xf numFmtId="178" fontId="9" fillId="8" borderId="1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horizontal="center" vertical="center" wrapText="1"/>
    </xf>
    <xf numFmtId="178" fontId="9" fillId="7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6" borderId="1" xfId="0" applyFill="1" applyBorder="1"/>
    <xf numFmtId="1" fontId="0" fillId="6" borderId="1" xfId="0" applyNumberFormat="1" applyFill="1" applyBorder="1"/>
    <xf numFmtId="0" fontId="0" fillId="5" borderId="1" xfId="0" applyFill="1" applyBorder="1"/>
    <xf numFmtId="1" fontId="0" fillId="5" borderId="1" xfId="0" applyNumberFormat="1" applyFill="1" applyBorder="1"/>
    <xf numFmtId="0" fontId="11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179" fontId="4" fillId="5" borderId="1" xfId="0" applyNumberFormat="1" applyFont="1" applyFill="1" applyBorder="1" applyAlignment="1">
      <alignment horizontal="center" vertical="center"/>
    </xf>
    <xf numFmtId="179" fontId="4" fillId="6" borderId="1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3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ont>
        <b val="1"/>
        <color rgb="FF1E8449"/>
      </font>
      <fill>
        <patternFill patternType="solid">
          <fgColor rgb="FFD5F5E3"/>
        </patternFill>
      </fill>
    </dxf>
    <dxf>
      <font>
        <b val="1"/>
        <color rgb="FFB7770D"/>
      </font>
      <fill>
        <patternFill patternType="solid">
          <fgColor rgb="FFFEF9E7"/>
        </patternFill>
      </fill>
    </dxf>
    <dxf>
      <font>
        <b val="1"/>
        <color rgb="FF922B21"/>
      </font>
      <fill>
        <patternFill patternType="solid">
          <f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Revenue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'Month-Wise Revenue'!$B$11</c:f>
              <c:strCache>
                <c:ptCount val="1"/>
                <c:pt idx="0">
                  <c:v>Revenue (Rs.)</c:v>
                </c:pt>
              </c:strCache>
            </c:strRef>
          </c:tx>
          <c:spPr>
            <a:ln w="20000" cap="rnd" cmpd="sng" algn="ctr">
              <a:solidFill>
                <a:srgbClr val="2E86C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'Month-Wise Revenue'!$A$12:$A$26</c:f>
              <c:strCache>
                <c:ptCount val="15"/>
                <c:pt idx="0">
                  <c:v>Mar 2025</c:v>
                </c:pt>
                <c:pt idx="1">
                  <c:v>Apr 2025</c:v>
                </c:pt>
                <c:pt idx="2">
                  <c:v>May 2025</c:v>
                </c:pt>
                <c:pt idx="3">
                  <c:v>Jun 2025</c:v>
                </c:pt>
                <c:pt idx="4">
                  <c:v>Jul 2025</c:v>
                </c:pt>
                <c:pt idx="5">
                  <c:v>Aug 2025</c:v>
                </c:pt>
                <c:pt idx="6">
                  <c:v>Sep 2025</c:v>
                </c:pt>
                <c:pt idx="7">
                  <c:v>Oct 2025</c:v>
                </c:pt>
                <c:pt idx="8">
                  <c:v>Nov 2025</c:v>
                </c:pt>
                <c:pt idx="9">
                  <c:v>Dec 2025</c:v>
                </c:pt>
                <c:pt idx="10">
                  <c:v>Jan 2026</c:v>
                </c:pt>
                <c:pt idx="11">
                  <c:v>Feb 2026</c:v>
                </c:pt>
                <c:pt idx="12">
                  <c:v>Mar 2026</c:v>
                </c:pt>
                <c:pt idx="13">
                  <c:v>Apr 2026</c:v>
                </c:pt>
                <c:pt idx="14">
                  <c:v>May 2026*</c:v>
                </c:pt>
              </c:strCache>
            </c:strRef>
          </c:cat>
          <c:val>
            <c:numRef>
              <c:f>'Month-Wise Revenue'!$B$12:$B$26</c:f>
              <c:numCache>
                <c:formatCode>0</c:formatCode>
                <c:ptCount val="15"/>
                <c:pt idx="0">
                  <c:v>6866300</c:v>
                </c:pt>
                <c:pt idx="1">
                  <c:v>3841302</c:v>
                </c:pt>
                <c:pt idx="2">
                  <c:v>3394896</c:v>
                </c:pt>
                <c:pt idx="3">
                  <c:v>3364570</c:v>
                </c:pt>
                <c:pt idx="4">
                  <c:v>4674553</c:v>
                </c:pt>
                <c:pt idx="5">
                  <c:v>5235077</c:v>
                </c:pt>
                <c:pt idx="6">
                  <c:v>4933025</c:v>
                </c:pt>
                <c:pt idx="7">
                  <c:v>4203597</c:v>
                </c:pt>
                <c:pt idx="8">
                  <c:v>5302182</c:v>
                </c:pt>
                <c:pt idx="9">
                  <c:v>6331598</c:v>
                </c:pt>
                <c:pt idx="10">
                  <c:v>5995663</c:v>
                </c:pt>
                <c:pt idx="11">
                  <c:v>5880661</c:v>
                </c:pt>
                <c:pt idx="12">
                  <c:v>6494808</c:v>
                </c:pt>
                <c:pt idx="13">
                  <c:v>4952222</c:v>
                </c:pt>
                <c:pt idx="14">
                  <c:v>1667502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 (Rs.)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104cf6-c708-4416-b523-e6a1864d598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April 2026 Revenue Share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'Customer Revenue'!$G$4</c:f>
              <c:strCache>
                <c:ptCount val="1"/>
                <c:pt idx="0">
                  <c:v>Apr Rev Rs.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4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5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6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7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'Customer Revenue'!$A$5:$A$12</c:f>
              <c:strCache>
                <c:ptCount val="8"/>
                <c:pt idx="0">
                  <c:v>Aditya Birla Sun Life</c:v>
                </c:pt>
                <c:pt idx="1">
                  <c:v>Bajaj Life Insurance</c:v>
                </c:pt>
                <c:pt idx="2">
                  <c:v>ICICI Lombard</c:v>
                </c:pt>
                <c:pt idx="3">
                  <c:v>Star Union Daichi</c:v>
                </c:pt>
                <c:pt idx="4">
                  <c:v>Ageas Federal Life</c:v>
                </c:pt>
                <c:pt idx="5">
                  <c:v>Pramerica Life</c:v>
                </c:pt>
                <c:pt idx="6">
                  <c:v>Canara HSBC</c:v>
                </c:pt>
                <c:pt idx="7">
                  <c:v>Cardiotrack Home Svc</c:v>
                </c:pt>
              </c:strCache>
            </c:strRef>
          </c:cat>
          <c:val>
            <c:numRef>
              <c:f>'Customer Revenue'!$G$5:$G$12</c:f>
              <c:numCache>
                <c:formatCode>0</c:formatCode>
                <c:ptCount val="8"/>
                <c:pt idx="0">
                  <c:v>1617039</c:v>
                </c:pt>
                <c:pt idx="1">
                  <c:v>1640934</c:v>
                </c:pt>
                <c:pt idx="2">
                  <c:v>1307400</c:v>
                </c:pt>
                <c:pt idx="3">
                  <c:v>210887</c:v>
                </c:pt>
                <c:pt idx="4">
                  <c:v>148821</c:v>
                </c:pt>
                <c:pt idx="5">
                  <c:v>25843</c:v>
                </c:pt>
                <c:pt idx="6">
                  <c:v>0</c:v>
                </c:pt>
                <c:pt idx="7">
                  <c:v>1298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3eb2488-4b74-4761-a576-f51dac82ec3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Pipeline Weighted Revenue by Opportunity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'Pipeline Health'!$B$36</c:f>
              <c:strCache>
                <c:ptCount val="1"/>
                <c:pt idx="0">
                  <c:v>Weighted Rev Rs.</c:v>
                </c:pt>
              </c:strCache>
            </c:strRef>
          </c:tx>
          <c:spPr>
            <a:solidFill>
              <a:srgbClr val="2E86C1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'Pipeline Health'!$A$37:$A$42</c:f>
              <c:strCache>
                <c:ptCount val="6"/>
                <c:pt idx="0">
                  <c:v>ABSLI May+Jun</c:v>
                </c:pt>
                <c:pt idx="1">
                  <c:v>Bajaj Life May+Jun</c:v>
                </c:pt>
                <c:pt idx="2">
                  <c:v>Canara HSBC May+Jun</c:v>
                </c:pt>
                <c:pt idx="3">
                  <c:v>SUD Life May+Jun</c:v>
                </c:pt>
                <c:pt idx="4">
                  <c:v>Bajaj AI ECG May+Jun</c:v>
                </c:pt>
                <c:pt idx="5">
                  <c:v>June Prospects</c:v>
                </c:pt>
              </c:strCache>
            </c:strRef>
          </c:cat>
          <c:val>
            <c:numRef>
              <c:f>'Pipeline Health'!$B$37:$B$42</c:f>
              <c:numCache>
                <c:formatCode>General</c:formatCode>
                <c:ptCount val="6"/>
                <c:pt idx="0">
                  <c:v>1139330</c:v>
                </c:pt>
                <c:pt idx="1">
                  <c:v>900000</c:v>
                </c:pt>
                <c:pt idx="2">
                  <c:v>425000</c:v>
                </c:pt>
                <c:pt idx="3">
                  <c:v>560000</c:v>
                </c:pt>
                <c:pt idx="4">
                  <c:v>567000</c:v>
                </c:pt>
                <c:pt idx="5">
                  <c:v>1283500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Weighted Revenue (Rs.)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f35faa-3f0c-46f6-9a98-304cde577dd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Apr 2026: Incoming vs Closed Orders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Pipeline'!$B$25</c:f>
              <c:strCache>
                <c:ptCount val="1"/>
                <c:pt idx="0">
                  <c:v>Incoming (Apr)</c:v>
                </c:pt>
              </c:strCache>
            </c:strRef>
          </c:tx>
          <c:spPr>
            <a:solidFill>
              <a:srgbClr val="2E86C1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'Order Pipeline'!$A$26:$A$31</c:f>
              <c:strCache>
                <c:ptCount val="6"/>
                <c:pt idx="0">
                  <c:v>ABSLI</c:v>
                </c:pt>
                <c:pt idx="1">
                  <c:v>Bajaj</c:v>
                </c:pt>
                <c:pt idx="2">
                  <c:v>ICICI</c:v>
                </c:pt>
                <c:pt idx="3">
                  <c:v>SUD</c:v>
                </c:pt>
                <c:pt idx="4">
                  <c:v>Ageas</c:v>
                </c:pt>
                <c:pt idx="5">
                  <c:v>Pramerica</c:v>
                </c:pt>
              </c:strCache>
            </c:strRef>
          </c:cat>
          <c:val>
            <c:numRef>
              <c:f>'Order Pipeline'!$B$26:$B$31</c:f>
              <c:numCache>
                <c:formatCode>General</c:formatCode>
                <c:ptCount val="6"/>
                <c:pt idx="0">
                  <c:v>1866</c:v>
                </c:pt>
                <c:pt idx="1">
                  <c:v>909</c:v>
                </c:pt>
                <c:pt idx="2">
                  <c:v>742</c:v>
                </c:pt>
                <c:pt idx="3">
                  <c:v>172</c:v>
                </c:pt>
                <c:pt idx="4">
                  <c:v>109</c:v>
                </c:pt>
                <c:pt idx="5">
                  <c:v>69</c:v>
                </c:pt>
              </c:numCache>
            </c:numRef>
          </c:val>
        </c:ser>
        <c:ser>
          <c:idx val="1"/>
          <c:order val="1"/>
          <c:tx>
            <c:strRef>
              <c:f>'Order Pipeline'!$C$25</c:f>
              <c:strCache>
                <c:ptCount val="1"/>
                <c:pt idx="0">
                  <c:v>Closed (Apr)</c:v>
                </c:pt>
              </c:strCache>
            </c:strRef>
          </c:tx>
          <c:spPr>
            <a:solidFill>
              <a:srgbClr val="27AE60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'Order Pipeline'!$A$26:$A$31</c:f>
              <c:strCache>
                <c:ptCount val="6"/>
                <c:pt idx="0">
                  <c:v>ABSLI</c:v>
                </c:pt>
                <c:pt idx="1">
                  <c:v>Bajaj</c:v>
                </c:pt>
                <c:pt idx="2">
                  <c:v>ICICI</c:v>
                </c:pt>
                <c:pt idx="3">
                  <c:v>SUD</c:v>
                </c:pt>
                <c:pt idx="4">
                  <c:v>Ageas</c:v>
                </c:pt>
                <c:pt idx="5">
                  <c:v>Pramerica</c:v>
                </c:pt>
              </c:strCache>
            </c:strRef>
          </c:cat>
          <c:val>
            <c:numRef>
              <c:f>'Order Pipeline'!$C$26:$C$31</c:f>
              <c:numCache>
                <c:formatCode>General</c:formatCode>
                <c:ptCount val="6"/>
                <c:pt idx="0">
                  <c:v>814</c:v>
                </c:pt>
                <c:pt idx="1">
                  <c:v>781</c:v>
                </c:pt>
                <c:pt idx="2">
                  <c:v>577</c:v>
                </c:pt>
                <c:pt idx="3">
                  <c:v>87</c:v>
                </c:pt>
                <c:pt idx="4">
                  <c:v>61</c:v>
                </c:pt>
                <c:pt idx="5">
                  <c:v>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Orders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d71036-c6e7-4871-8c29-6c005f3db5c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9</xdr:row>
      <xdr:rowOff>0</xdr:rowOff>
    </xdr:from>
    <xdr:ext cx="7920000" cy="4388580"/>
    <xdr:graphicFrame>
      <xdr:nvGraphicFramePr>
        <xdr:cNvPr id="2" name="Chart 1"/>
        <xdr:cNvGraphicFramePr/>
      </xdr:nvGraphicFramePr>
      <xdr:xfrm>
        <a:off x="3655060" y="2583180"/>
        <a:ext cx="7919720" cy="4388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14</xdr:row>
      <xdr:rowOff>0</xdr:rowOff>
    </xdr:from>
    <xdr:ext cx="6480000" cy="4822920"/>
    <xdr:graphicFrame>
      <xdr:nvGraphicFramePr>
        <xdr:cNvPr id="2" name="Chart 1"/>
        <xdr:cNvGraphicFramePr/>
      </xdr:nvGraphicFramePr>
      <xdr:xfrm>
        <a:off x="0" y="3881120"/>
        <a:ext cx="6479540" cy="482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35</xdr:row>
      <xdr:rowOff>0</xdr:rowOff>
    </xdr:from>
    <xdr:ext cx="7920000" cy="4822920"/>
    <xdr:graphicFrame>
      <xdr:nvGraphicFramePr>
        <xdr:cNvPr id="2" name="Chart 1"/>
        <xdr:cNvGraphicFramePr/>
      </xdr:nvGraphicFramePr>
      <xdr:xfrm>
        <a:off x="4064000" y="9253220"/>
        <a:ext cx="7919720" cy="482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23</xdr:row>
      <xdr:rowOff>0</xdr:rowOff>
    </xdr:from>
    <xdr:ext cx="7920000" cy="4822920"/>
    <xdr:graphicFrame>
      <xdr:nvGraphicFramePr>
        <xdr:cNvPr id="2" name="Chart 1"/>
        <xdr:cNvGraphicFramePr/>
      </xdr:nvGraphicFramePr>
      <xdr:xfrm>
        <a:off x="3576320" y="6027420"/>
        <a:ext cx="7919720" cy="482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showGridLines="0" workbookViewId="0">
      <selection activeCell="B20" sqref="B20"/>
    </sheetView>
  </sheetViews>
  <sheetFormatPr defaultColWidth="9" defaultRowHeight="16.8"/>
  <cols>
    <col min="1" max="1" width="22" customWidth="1"/>
    <col min="2" max="2" width="28.515625" customWidth="1"/>
    <col min="3" max="3" width="16" customWidth="1"/>
    <col min="4" max="4" width="18" customWidth="1"/>
    <col min="5" max="5" width="14" customWidth="1"/>
    <col min="6" max="6" width="16" customWidth="1"/>
    <col min="7" max="7" width="22" customWidth="1"/>
    <col min="8" max="8" width="2" customWidth="1"/>
    <col min="9" max="9" width="24" customWidth="1"/>
    <col min="10" max="10" width="13" customWidth="1"/>
    <col min="11" max="11" width="16" customWidth="1"/>
    <col min="12" max="12" width="14" customWidth="1"/>
    <col min="13" max="13" width="12" customWidth="1"/>
    <col min="14" max="14" width="14" customWidth="1"/>
  </cols>
  <sheetData>
    <row r="1" ht="40" customHeight="1" spans="1:14">
      <c r="A1" s="66" t="s">
        <v>0</v>
      </c>
    </row>
    <row r="2" ht="18" customHeight="1" spans="1:14">
      <c r="A2" s="67" t="s">
        <v>1</v>
      </c>
    </row>
    <row r="3" ht="8" customHeight="1"/>
    <row r="4" ht="30" customHeight="1" spans="1:14">
      <c r="A4" s="68" t="s">
        <v>2</v>
      </c>
      <c r="D4" s="69" t="s">
        <v>3</v>
      </c>
      <c r="G4" s="70" t="s">
        <v>4</v>
      </c>
      <c r="J4" s="71" t="s">
        <v>5</v>
      </c>
      <c r="M4" s="72" t="s">
        <v>6</v>
      </c>
    </row>
    <row r="5" ht="30" customHeight="1"/>
    <row r="6" ht="30" customHeight="1"/>
    <row r="7" ht="30" customHeight="1"/>
    <row r="8" ht="30" customHeight="1"/>
    <row r="9" ht="8" customHeight="1"/>
    <row r="11" ht="22" customHeight="1" spans="1:14">
      <c r="A11" s="2" t="s">
        <v>7</v>
      </c>
      <c r="I11" s="2" t="s">
        <v>8</v>
      </c>
    </row>
    <row r="12" ht="22" customHeight="1" spans="1:14">
      <c r="A12" s="37" t="s">
        <v>9</v>
      </c>
      <c r="B12" s="37" t="s">
        <v>10</v>
      </c>
      <c r="C12" s="37" t="s">
        <v>11</v>
      </c>
      <c r="D12" s="37" t="s">
        <v>12</v>
      </c>
      <c r="E12" s="37" t="s">
        <v>13</v>
      </c>
      <c r="F12" s="37" t="s">
        <v>14</v>
      </c>
      <c r="G12" s="37" t="s">
        <v>15</v>
      </c>
      <c r="I12" s="37" t="s">
        <v>16</v>
      </c>
      <c r="J12" s="37" t="s">
        <v>17</v>
      </c>
      <c r="K12" s="37" t="s">
        <v>18</v>
      </c>
      <c r="L12" s="37" t="s">
        <v>19</v>
      </c>
      <c r="M12" s="37" t="s">
        <v>20</v>
      </c>
      <c r="N12" s="37" t="s">
        <v>21</v>
      </c>
    </row>
    <row r="13" ht="18" customHeight="1" spans="1:14">
      <c r="A13" s="32" t="s">
        <v>22</v>
      </c>
      <c r="B13" s="34">
        <v>3841302</v>
      </c>
      <c r="C13" s="34">
        <v>7682604</v>
      </c>
      <c r="D13" s="34">
        <v>4952222</v>
      </c>
      <c r="E13" s="73">
        <v>64.5</v>
      </c>
      <c r="F13" s="34">
        <v>2730382</v>
      </c>
      <c r="G13" s="34" t="s">
        <v>23</v>
      </c>
      <c r="I13" s="29" t="s">
        <v>24</v>
      </c>
      <c r="J13" s="31">
        <v>814</v>
      </c>
      <c r="K13" s="31">
        <v>1617039</v>
      </c>
      <c r="L13" s="31">
        <v>1987</v>
      </c>
      <c r="M13" s="31">
        <v>32.7</v>
      </c>
      <c r="N13" s="31" t="s">
        <v>25</v>
      </c>
    </row>
    <row r="14" ht="18" customHeight="1" spans="1:14">
      <c r="A14" s="29" t="s">
        <v>26</v>
      </c>
      <c r="B14" s="31">
        <v>3394896</v>
      </c>
      <c r="C14" s="31">
        <v>6789792</v>
      </c>
      <c r="D14" s="31">
        <v>1667502</v>
      </c>
      <c r="E14" s="74">
        <v>24.6</v>
      </c>
      <c r="F14" s="31">
        <v>5122290</v>
      </c>
      <c r="G14" s="31" t="s">
        <v>27</v>
      </c>
      <c r="I14" s="32" t="s">
        <v>28</v>
      </c>
      <c r="J14" s="34">
        <v>781</v>
      </c>
      <c r="K14" s="34">
        <v>1640934</v>
      </c>
      <c r="L14" s="34">
        <v>2101</v>
      </c>
      <c r="M14" s="34">
        <v>33.1</v>
      </c>
      <c r="N14" s="34" t="s">
        <v>25</v>
      </c>
    </row>
    <row r="15" ht="18" customHeight="1" spans="1:14">
      <c r="A15" s="32" t="s">
        <v>29</v>
      </c>
      <c r="B15" s="34">
        <v>3364570</v>
      </c>
      <c r="C15" s="34">
        <v>6729140</v>
      </c>
      <c r="D15" s="34">
        <v>0</v>
      </c>
      <c r="E15" s="73">
        <v>0</v>
      </c>
      <c r="F15" s="34">
        <v>6729140</v>
      </c>
      <c r="G15" s="34" t="s">
        <v>30</v>
      </c>
      <c r="I15" s="29" t="s">
        <v>31</v>
      </c>
      <c r="J15" s="31">
        <v>577</v>
      </c>
      <c r="K15" s="31">
        <v>1307400</v>
      </c>
      <c r="L15" s="31">
        <v>2266</v>
      </c>
      <c r="M15" s="31">
        <v>26.4</v>
      </c>
      <c r="N15" s="31" t="s">
        <v>25</v>
      </c>
    </row>
    <row r="16" ht="18" customHeight="1" spans="1:14">
      <c r="A16" s="35" t="s">
        <v>32</v>
      </c>
      <c r="B16" s="37">
        <v>10600768</v>
      </c>
      <c r="C16" s="37">
        <v>21201536</v>
      </c>
      <c r="D16" s="37">
        <v>6619724</v>
      </c>
      <c r="E16" s="75">
        <v>31.2</v>
      </c>
      <c r="F16" s="37">
        <v>14581812</v>
      </c>
      <c r="G16" s="37" t="s">
        <v>33</v>
      </c>
      <c r="I16" s="32" t="s">
        <v>34</v>
      </c>
      <c r="J16" s="34">
        <v>87</v>
      </c>
      <c r="K16" s="34">
        <v>210887</v>
      </c>
      <c r="L16" s="34">
        <v>2424</v>
      </c>
      <c r="M16" s="34">
        <v>4.3</v>
      </c>
      <c r="N16" s="34" t="s">
        <v>25</v>
      </c>
    </row>
    <row r="17" ht="8" customHeight="1" spans="1:14">
      <c r="I17" s="29" t="s">
        <v>35</v>
      </c>
      <c r="J17" s="31">
        <v>61</v>
      </c>
      <c r="K17" s="31">
        <v>148821</v>
      </c>
      <c r="L17" s="31">
        <v>2440</v>
      </c>
      <c r="M17" s="31">
        <v>3</v>
      </c>
      <c r="N17" s="31" t="s">
        <v>25</v>
      </c>
    </row>
    <row r="18" ht="22" customHeight="1" spans="1:14">
      <c r="A18" s="76" t="s">
        <v>36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8"/>
    </row>
    <row r="19" ht="18" customHeight="1" spans="1:14">
      <c r="A19" s="79" t="s">
        <v>37</v>
      </c>
      <c r="B19" s="79" t="s">
        <v>38</v>
      </c>
      <c r="C19" s="79" t="s">
        <v>39</v>
      </c>
      <c r="D19" s="79" t="s">
        <v>40</v>
      </c>
      <c r="I19" s="29" t="s">
        <v>41</v>
      </c>
      <c r="J19" s="31">
        <v>1</v>
      </c>
      <c r="K19" s="31">
        <v>1298</v>
      </c>
      <c r="L19" s="31">
        <v>1298</v>
      </c>
      <c r="M19" s="31">
        <v>0</v>
      </c>
      <c r="N19" s="31" t="s">
        <v>25</v>
      </c>
    </row>
    <row r="20" ht="20" customHeight="1" spans="1:14">
      <c r="A20" s="29" t="s">
        <v>42</v>
      </c>
      <c r="B20" s="30">
        <v>4952222</v>
      </c>
      <c r="C20" s="50">
        <v>0.248</v>
      </c>
      <c r="D20" s="31" t="s">
        <v>43</v>
      </c>
      <c r="I20" s="35" t="s">
        <v>44</v>
      </c>
      <c r="J20" s="37">
        <v>2342</v>
      </c>
      <c r="K20" s="37">
        <v>4952222</v>
      </c>
      <c r="L20" s="37">
        <v>2114</v>
      </c>
      <c r="M20" s="37">
        <v>100</v>
      </c>
      <c r="N20" s="37" t="s">
        <v>43</v>
      </c>
    </row>
    <row r="21" ht="20" customHeight="1" spans="1:14">
      <c r="A21" s="32" t="s">
        <v>45</v>
      </c>
      <c r="B21" s="33">
        <v>1667502</v>
      </c>
      <c r="C21" s="49">
        <v>0.083</v>
      </c>
      <c r="D21" s="34" t="s">
        <v>43</v>
      </c>
    </row>
    <row r="22" ht="20" customHeight="1" spans="1:14">
      <c r="A22" s="29" t="s">
        <v>46</v>
      </c>
      <c r="B22" s="30">
        <v>15000000</v>
      </c>
      <c r="C22" s="50">
        <v>0.75</v>
      </c>
      <c r="D22" s="31" t="s">
        <v>43</v>
      </c>
    </row>
    <row r="23" ht="20" customHeight="1" spans="1:14">
      <c r="A23" s="32" t="s">
        <v>47</v>
      </c>
      <c r="B23" s="33">
        <v>5114830</v>
      </c>
      <c r="C23" s="49">
        <v>0.256</v>
      </c>
      <c r="D23" s="34" t="s">
        <v>43</v>
      </c>
    </row>
  </sheetData>
  <mergeCells count="10">
    <mergeCell ref="A1:N1"/>
    <mergeCell ref="A2:N2"/>
    <mergeCell ref="A11:G11"/>
    <mergeCell ref="I11:N11"/>
    <mergeCell ref="A18:N18"/>
    <mergeCell ref="M4:N8"/>
    <mergeCell ref="A4:C8"/>
    <mergeCell ref="D4:F8"/>
    <mergeCell ref="G4:I8"/>
    <mergeCell ref="J4:L8"/>
  </mergeCells>
  <conditionalFormatting sqref="C20:C23">
    <cfRule type="dataBar" priority="4">
      <dataBar>
        <cfvo type="num" val="0"/>
        <cfvo type="num" val="1"/>
        <color rgb="FF2E86C1"/>
      </dataBar>
      <extLst>
        <ext xmlns:x14="http://schemas.microsoft.com/office/spreadsheetml/2009/9/main" uri="{B025F937-C7B1-47D3-B67F-A62EFF666E3E}">
          <x14:id>{62ac8ff0-3a52-4c25-b279-2b284a69c85a}</x14:id>
        </ext>
      </extLst>
    </cfRule>
  </conditionalFormatting>
  <conditionalFormatting sqref="E13:E15">
    <cfRule type="cellIs" dxfId="0" priority="1" operator="greaterThanOrEqual">
      <formula>75</formula>
    </cfRule>
    <cfRule type="cellIs" dxfId="1" priority="2" operator="between">
      <formula>40</formula>
      <formula>74.9</formula>
    </cfRule>
    <cfRule type="cellIs" dxfId="2" priority="3" operator="lessThan">
      <formula>40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ac8ff0-3a52-4c25-b279-2b284a69c85a}">
            <x14:dataBar minLength="10" maxLength="90" negativeBarColorSameAsPositive="1" axisPosition="none">
              <x14:cfvo type="num">
                <xm:f>0</xm:f>
              </x14:cfvo>
              <x14:cfvo type="num">
                <xm:f>1</xm:f>
              </x14:cfvo>
              <x14:axisColor indexed="65"/>
            </x14:dataBar>
          </x14:cfRule>
          <xm:sqref>C20:C23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showGridLines="0" topLeftCell="A10" workbookViewId="0">
      <selection activeCell="E33" sqref="E33"/>
    </sheetView>
  </sheetViews>
  <sheetFormatPr defaultColWidth="9" defaultRowHeight="16.8"/>
  <cols>
    <col min="1" max="1" width="16" customWidth="1"/>
    <col min="2" max="2" width="12.96875" customWidth="1"/>
    <col min="3" max="4" width="16" customWidth="1"/>
    <col min="5" max="6" width="14" customWidth="1"/>
    <col min="7" max="7" width="16" customWidth="1"/>
    <col min="8" max="8" width="18" customWidth="1"/>
  </cols>
  <sheetData>
    <row r="1" ht="35" customHeight="1" spans="1:8">
      <c r="A1" s="28" t="s">
        <v>48</v>
      </c>
    </row>
    <row r="3" ht="30" customHeight="1" spans="1:8">
      <c r="A3" s="3" t="s">
        <v>9</v>
      </c>
      <c r="B3" s="3" t="s">
        <v>49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50</v>
      </c>
      <c r="H3" s="3" t="s">
        <v>15</v>
      </c>
    </row>
    <row r="4" ht="22" customHeight="1" spans="1:8">
      <c r="A4" s="29" t="s">
        <v>51</v>
      </c>
      <c r="B4" s="31">
        <v>2888519</v>
      </c>
      <c r="C4" s="31">
        <v>3841302</v>
      </c>
      <c r="D4" s="31">
        <v>7682604</v>
      </c>
      <c r="E4" s="31">
        <v>4952222</v>
      </c>
      <c r="F4" s="50">
        <v>0.645</v>
      </c>
      <c r="G4" s="31">
        <v>2730382</v>
      </c>
      <c r="H4" s="31" t="s">
        <v>23</v>
      </c>
    </row>
    <row r="5" ht="22" customHeight="1" spans="1:8">
      <c r="A5" s="32" t="s">
        <v>52</v>
      </c>
      <c r="B5" s="34">
        <v>3155397</v>
      </c>
      <c r="C5" s="34">
        <v>3394896</v>
      </c>
      <c r="D5" s="34">
        <v>6789792</v>
      </c>
      <c r="E5" s="34">
        <v>1667502</v>
      </c>
      <c r="F5" s="49">
        <v>0.246</v>
      </c>
      <c r="G5" s="34">
        <v>5122290</v>
      </c>
      <c r="H5" s="34" t="s">
        <v>53</v>
      </c>
    </row>
    <row r="6" ht="22" customHeight="1" spans="1:8">
      <c r="A6" s="29" t="s">
        <v>54</v>
      </c>
      <c r="B6" s="31">
        <v>3550137</v>
      </c>
      <c r="C6" s="31">
        <v>3364570</v>
      </c>
      <c r="D6" s="31">
        <v>6729140</v>
      </c>
      <c r="E6" s="31">
        <v>0</v>
      </c>
      <c r="F6" s="50">
        <v>0</v>
      </c>
      <c r="G6" s="31">
        <v>6729140</v>
      </c>
      <c r="H6" s="31" t="s">
        <v>30</v>
      </c>
    </row>
    <row r="7" ht="22" customHeight="1" spans="1:8">
      <c r="A7" s="35" t="s">
        <v>55</v>
      </c>
      <c r="B7" s="37">
        <v>9594053</v>
      </c>
      <c r="C7" s="37">
        <v>10600768</v>
      </c>
      <c r="D7" s="37">
        <v>21201536</v>
      </c>
      <c r="E7" s="37">
        <v>6619724</v>
      </c>
      <c r="F7" s="51">
        <v>0.312</v>
      </c>
      <c r="G7" s="37">
        <v>14581812</v>
      </c>
      <c r="H7" s="37" t="s">
        <v>56</v>
      </c>
    </row>
    <row r="10" ht="22" customHeight="1" spans="1:8">
      <c r="A10" s="2" t="s">
        <v>57</v>
      </c>
    </row>
    <row r="11" spans="1:8">
      <c r="A11" s="61" t="s">
        <v>9</v>
      </c>
      <c r="B11" s="61" t="s">
        <v>18</v>
      </c>
    </row>
    <row r="12" ht="18" customHeight="1" spans="1:8">
      <c r="A12" s="62" t="s">
        <v>58</v>
      </c>
      <c r="B12" s="63">
        <v>6866300</v>
      </c>
    </row>
    <row r="13" ht="18" customHeight="1" spans="1:8">
      <c r="A13" s="64" t="s">
        <v>59</v>
      </c>
      <c r="B13" s="65">
        <v>3841302</v>
      </c>
    </row>
    <row r="14" ht="18" customHeight="1" spans="1:8">
      <c r="A14" s="62" t="s">
        <v>60</v>
      </c>
      <c r="B14" s="63">
        <v>3394896</v>
      </c>
    </row>
    <row r="15" ht="18" customHeight="1" spans="1:8">
      <c r="A15" s="64" t="s">
        <v>61</v>
      </c>
      <c r="B15" s="65">
        <v>3364570</v>
      </c>
    </row>
    <row r="16" ht="18" customHeight="1" spans="1:8">
      <c r="A16" s="62" t="s">
        <v>62</v>
      </c>
      <c r="B16" s="63">
        <v>4674553</v>
      </c>
    </row>
    <row r="17" ht="18" customHeight="1" spans="1:2">
      <c r="A17" s="64" t="s">
        <v>63</v>
      </c>
      <c r="B17" s="65">
        <v>5235077</v>
      </c>
    </row>
    <row r="18" ht="18" customHeight="1" spans="1:2">
      <c r="A18" s="62" t="s">
        <v>64</v>
      </c>
      <c r="B18" s="63">
        <v>4933025</v>
      </c>
    </row>
    <row r="19" ht="18" customHeight="1" spans="1:2">
      <c r="A19" s="64" t="s">
        <v>65</v>
      </c>
      <c r="B19" s="65">
        <v>4203597</v>
      </c>
    </row>
    <row r="20" ht="18" customHeight="1" spans="1:2">
      <c r="A20" s="62" t="s">
        <v>66</v>
      </c>
      <c r="B20" s="63">
        <v>5302182</v>
      </c>
    </row>
    <row r="21" ht="18" customHeight="1" spans="1:2">
      <c r="A21" s="64" t="s">
        <v>67</v>
      </c>
      <c r="B21" s="65">
        <v>6331598</v>
      </c>
    </row>
    <row r="22" ht="18" customHeight="1" spans="1:2">
      <c r="A22" s="62" t="s">
        <v>68</v>
      </c>
      <c r="B22" s="63">
        <v>5995663</v>
      </c>
    </row>
    <row r="23" ht="18" customHeight="1" spans="1:2">
      <c r="A23" s="64" t="s">
        <v>69</v>
      </c>
      <c r="B23" s="65">
        <v>5880661</v>
      </c>
    </row>
    <row r="24" ht="18" customHeight="1" spans="1:2">
      <c r="A24" s="62" t="s">
        <v>70</v>
      </c>
      <c r="B24" s="63">
        <v>6494808</v>
      </c>
    </row>
    <row r="25" ht="18" customHeight="1" spans="1:2">
      <c r="A25" s="64" t="s">
        <v>71</v>
      </c>
      <c r="B25" s="65">
        <v>4952222</v>
      </c>
    </row>
    <row r="26" ht="18" customHeight="1" spans="1:2">
      <c r="A26" s="62" t="s">
        <v>72</v>
      </c>
      <c r="B26" s="63">
        <v>1667502</v>
      </c>
    </row>
  </sheetData>
  <mergeCells count="2">
    <mergeCell ref="A1:J1"/>
    <mergeCell ref="A10:H10"/>
  </mergeCells>
  <conditionalFormatting sqref="F4:F6">
    <cfRule type="cellIs" dxfId="0" priority="1" operator="greaterThanOrEqual">
      <formula>0.75</formula>
    </cfRule>
    <cfRule type="cellIs" dxfId="1" priority="2" operator="between">
      <formula>0.4</formula>
      <formula>0.7499</formula>
    </cfRule>
    <cfRule type="cellIs" dxfId="2" priority="3" operator="lessThan">
      <formula>0.4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workbookViewId="0">
      <selection activeCell="M11" sqref="M11"/>
    </sheetView>
  </sheetViews>
  <sheetFormatPr defaultColWidth="9" defaultRowHeight="16.8"/>
  <cols>
    <col min="1" max="1" width="24" customWidth="1"/>
    <col min="2" max="5" width="10" customWidth="1"/>
    <col min="6" max="6" width="12" customWidth="1"/>
    <col min="7" max="10" width="14" customWidth="1"/>
    <col min="11" max="11" width="12" customWidth="1"/>
  </cols>
  <sheetData>
    <row r="1" ht="35" customHeight="1" spans="1:11">
      <c r="A1" s="28" t="s">
        <v>73</v>
      </c>
    </row>
    <row r="3" ht="22" customHeight="1" spans="1:11">
      <c r="A3" s="2" t="s">
        <v>74</v>
      </c>
    </row>
    <row r="4" ht="35" customHeight="1" spans="1:11">
      <c r="A4" s="25" t="s">
        <v>75</v>
      </c>
      <c r="B4" s="25" t="s">
        <v>21</v>
      </c>
      <c r="C4" s="25" t="s">
        <v>76</v>
      </c>
      <c r="D4" s="25" t="s">
        <v>77</v>
      </c>
      <c r="E4" s="25" t="s">
        <v>78</v>
      </c>
      <c r="F4" s="25" t="s">
        <v>79</v>
      </c>
      <c r="G4" s="25" t="s">
        <v>80</v>
      </c>
      <c r="H4" s="25" t="s">
        <v>81</v>
      </c>
      <c r="I4" s="25" t="s">
        <v>82</v>
      </c>
      <c r="J4" s="25" t="s">
        <v>83</v>
      </c>
      <c r="K4" s="25" t="s">
        <v>84</v>
      </c>
    </row>
    <row r="5" ht="20" customHeight="1" spans="1:11">
      <c r="A5" s="29" t="s">
        <v>24</v>
      </c>
      <c r="B5" s="31" t="s">
        <v>25</v>
      </c>
      <c r="C5" s="31">
        <v>1866</v>
      </c>
      <c r="D5" s="31">
        <v>814</v>
      </c>
      <c r="E5" s="50">
        <v>0.4362</v>
      </c>
      <c r="F5" s="59">
        <v>1987</v>
      </c>
      <c r="G5" s="59">
        <v>1617039</v>
      </c>
      <c r="H5" s="59">
        <v>1800000</v>
      </c>
      <c r="I5" s="59">
        <v>2430000</v>
      </c>
      <c r="J5" s="59">
        <v>5847039</v>
      </c>
      <c r="K5" s="50">
        <v>0.327</v>
      </c>
    </row>
    <row r="6" ht="20" customHeight="1" spans="1:11">
      <c r="A6" s="32" t="s">
        <v>28</v>
      </c>
      <c r="B6" s="34" t="s">
        <v>25</v>
      </c>
      <c r="C6" s="34">
        <v>909</v>
      </c>
      <c r="D6" s="34">
        <v>781</v>
      </c>
      <c r="E6" s="49">
        <v>0.8592</v>
      </c>
      <c r="F6" s="60">
        <v>2101</v>
      </c>
      <c r="G6" s="60">
        <v>1640934</v>
      </c>
      <c r="H6" s="60">
        <v>2000934</v>
      </c>
      <c r="I6" s="60">
        <v>2016841</v>
      </c>
      <c r="J6" s="60">
        <v>5658709</v>
      </c>
      <c r="K6" s="49">
        <v>0.316</v>
      </c>
    </row>
    <row r="7" ht="20" customHeight="1" spans="1:11">
      <c r="A7" s="29" t="s">
        <v>31</v>
      </c>
      <c r="B7" s="31" t="s">
        <v>25</v>
      </c>
      <c r="C7" s="31">
        <v>742</v>
      </c>
      <c r="D7" s="31">
        <v>577</v>
      </c>
      <c r="E7" s="50">
        <v>0.7776</v>
      </c>
      <c r="F7" s="59">
        <v>2266</v>
      </c>
      <c r="G7" s="59">
        <v>1307400</v>
      </c>
      <c r="H7" s="59">
        <v>1357400</v>
      </c>
      <c r="I7" s="59">
        <v>753694</v>
      </c>
      <c r="J7" s="59">
        <v>3418494</v>
      </c>
      <c r="K7" s="50">
        <v>0.191</v>
      </c>
    </row>
    <row r="8" ht="20" customHeight="1" spans="1:11">
      <c r="A8" s="32" t="s">
        <v>34</v>
      </c>
      <c r="B8" s="34" t="s">
        <v>25</v>
      </c>
      <c r="C8" s="34">
        <v>172</v>
      </c>
      <c r="D8" s="34">
        <v>87</v>
      </c>
      <c r="E8" s="49">
        <v>0.5058</v>
      </c>
      <c r="F8" s="60">
        <v>2424</v>
      </c>
      <c r="G8" s="60">
        <v>210887</v>
      </c>
      <c r="H8" s="60">
        <v>450887</v>
      </c>
      <c r="I8" s="60">
        <v>488710</v>
      </c>
      <c r="J8" s="60">
        <v>1150484</v>
      </c>
      <c r="K8" s="49">
        <v>0.064</v>
      </c>
    </row>
    <row r="9" ht="20" customHeight="1" spans="1:11">
      <c r="A9" s="29" t="s">
        <v>35</v>
      </c>
      <c r="B9" s="31" t="s">
        <v>25</v>
      </c>
      <c r="C9" s="31">
        <v>109</v>
      </c>
      <c r="D9" s="31">
        <v>61</v>
      </c>
      <c r="E9" s="50">
        <v>0.5596</v>
      </c>
      <c r="F9" s="59">
        <v>2440</v>
      </c>
      <c r="G9" s="59">
        <v>148821</v>
      </c>
      <c r="H9" s="59">
        <v>198821</v>
      </c>
      <c r="I9" s="59">
        <v>124411</v>
      </c>
      <c r="J9" s="59">
        <v>472053</v>
      </c>
      <c r="K9" s="50">
        <v>0.026</v>
      </c>
    </row>
    <row r="10" ht="20" customHeight="1" spans="1:11">
      <c r="A10" s="32" t="s">
        <v>85</v>
      </c>
      <c r="B10" s="34" t="s">
        <v>25</v>
      </c>
      <c r="C10" s="34">
        <v>69</v>
      </c>
      <c r="D10" s="34">
        <v>21</v>
      </c>
      <c r="E10" s="49">
        <v>0.3043</v>
      </c>
      <c r="F10" s="60">
        <v>1231</v>
      </c>
      <c r="G10" s="60">
        <v>25843</v>
      </c>
      <c r="H10" s="60">
        <v>50843</v>
      </c>
      <c r="I10" s="60">
        <v>100650</v>
      </c>
      <c r="J10" s="60">
        <v>177336</v>
      </c>
      <c r="K10" s="49">
        <v>0.01</v>
      </c>
    </row>
    <row r="11" ht="20" customHeight="1" spans="1:11">
      <c r="A11" s="29" t="s">
        <v>86</v>
      </c>
      <c r="B11" s="31" t="s">
        <v>25</v>
      </c>
      <c r="C11" s="31">
        <v>0</v>
      </c>
      <c r="D11" s="31">
        <v>0</v>
      </c>
      <c r="E11" s="50">
        <v>0.4</v>
      </c>
      <c r="F11" s="59">
        <v>1764</v>
      </c>
      <c r="G11" s="59">
        <v>0</v>
      </c>
      <c r="H11" s="59">
        <v>25000</v>
      </c>
      <c r="I11" s="59">
        <v>400000</v>
      </c>
      <c r="J11" s="59">
        <v>425000</v>
      </c>
      <c r="K11" s="50">
        <v>0.024</v>
      </c>
    </row>
    <row r="12" ht="20" customHeight="1" spans="1:11">
      <c r="A12" s="32" t="s">
        <v>41</v>
      </c>
      <c r="B12" s="34" t="s">
        <v>25</v>
      </c>
      <c r="C12" s="34">
        <v>1</v>
      </c>
      <c r="D12" s="34">
        <v>1</v>
      </c>
      <c r="E12" s="49">
        <v>1</v>
      </c>
      <c r="F12" s="60">
        <v>1298</v>
      </c>
      <c r="G12" s="60">
        <v>1298</v>
      </c>
      <c r="H12" s="60">
        <v>1298</v>
      </c>
      <c r="I12" s="60">
        <v>1298</v>
      </c>
      <c r="J12" s="60">
        <v>3894</v>
      </c>
      <c r="K12" s="49">
        <v>0</v>
      </c>
    </row>
    <row r="13" ht="20" customHeight="1" spans="1:11">
      <c r="A13" s="35" t="s">
        <v>44</v>
      </c>
      <c r="B13" s="37" t="s">
        <v>43</v>
      </c>
      <c r="C13" s="37">
        <v>3868</v>
      </c>
      <c r="D13" s="37">
        <v>2342</v>
      </c>
      <c r="E13" s="51">
        <v>0.6053</v>
      </c>
      <c r="F13" s="36">
        <v>2096</v>
      </c>
      <c r="G13" s="36">
        <v>4952222</v>
      </c>
      <c r="H13" s="36">
        <v>5885183</v>
      </c>
      <c r="I13" s="36">
        <v>6315604</v>
      </c>
      <c r="J13" s="36">
        <v>17153009</v>
      </c>
      <c r="K13" s="51">
        <v>0.958</v>
      </c>
    </row>
  </sheetData>
  <mergeCells count="2">
    <mergeCell ref="A1:K1"/>
    <mergeCell ref="A3:K3"/>
  </mergeCells>
  <conditionalFormatting sqref="G5:G12">
    <cfRule type="colorScale" priority="1">
      <colorScale>
        <cfvo type="min"/>
        <cfvo type="percentile" val="50"/>
        <cfvo type="max"/>
        <color rgb="FFFADBD8"/>
        <color rgb="FFFEF9E7"/>
        <color rgb="FFD5F5E3"/>
      </colorScale>
    </cfRule>
  </conditionalFormatting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topLeftCell="A26" workbookViewId="0">
      <selection activeCell="E7" sqref="C6:C14 E6 E13 E14 E12 E11 E10 E9 E8 E7"/>
    </sheetView>
  </sheetViews>
  <sheetFormatPr defaultColWidth="9" defaultRowHeight="16.8"/>
  <cols>
    <col min="1" max="1" width="26" customWidth="1"/>
    <col min="2" max="2" width="10" customWidth="1"/>
    <col min="3" max="3" width="14" customWidth="1"/>
    <col min="4" max="4" width="10" customWidth="1"/>
    <col min="5" max="5" width="14" customWidth="1"/>
    <col min="6" max="6" width="12" customWidth="1"/>
    <col min="7" max="7" width="14" customWidth="1"/>
    <col min="8" max="8" width="28" customWidth="1"/>
    <col min="9" max="9" width="16" customWidth="1"/>
    <col min="10" max="10" width="12" customWidth="1"/>
    <col min="11" max="11" width="14" customWidth="1"/>
  </cols>
  <sheetData>
    <row r="1" ht="35" customHeight="1" spans="1:11">
      <c r="A1" s="28" t="s">
        <v>87</v>
      </c>
    </row>
    <row r="2" ht="20" customHeight="1" spans="1:11">
      <c r="A2" s="52" t="s">
        <v>88</v>
      </c>
    </row>
    <row r="4" ht="22" customHeight="1" spans="1:11">
      <c r="A4" s="2" t="s">
        <v>89</v>
      </c>
    </row>
    <row r="5" ht="35" customHeight="1" spans="1:11">
      <c r="A5" s="25" t="s">
        <v>90</v>
      </c>
      <c r="B5" s="25" t="s">
        <v>21</v>
      </c>
      <c r="C5" s="25" t="s">
        <v>91</v>
      </c>
      <c r="D5" s="25" t="s">
        <v>92</v>
      </c>
      <c r="E5" s="25" t="s">
        <v>93</v>
      </c>
      <c r="F5" s="25" t="s">
        <v>94</v>
      </c>
      <c r="G5" s="25" t="s">
        <v>95</v>
      </c>
      <c r="H5" s="25" t="s">
        <v>96</v>
      </c>
      <c r="I5" s="25" t="s">
        <v>97</v>
      </c>
      <c r="J5" s="25" t="s">
        <v>98</v>
      </c>
      <c r="K5" s="25" t="s">
        <v>15</v>
      </c>
    </row>
    <row r="6" ht="20" customHeight="1" spans="1:11">
      <c r="A6" s="9" t="s">
        <v>99</v>
      </c>
      <c r="B6" s="10" t="s">
        <v>25</v>
      </c>
      <c r="C6" s="12">
        <v>182961</v>
      </c>
      <c r="D6" s="26">
        <v>0.9</v>
      </c>
      <c r="E6" s="12">
        <v>164665</v>
      </c>
      <c r="F6" s="10">
        <v>92</v>
      </c>
      <c r="G6" s="10">
        <v>211</v>
      </c>
      <c r="H6" s="9" t="s">
        <v>43</v>
      </c>
      <c r="I6" s="9" t="s">
        <v>100</v>
      </c>
      <c r="J6" s="10" t="s">
        <v>101</v>
      </c>
    </row>
    <row r="7" ht="20" customHeight="1" spans="1:11">
      <c r="A7" s="5" t="s">
        <v>102</v>
      </c>
      <c r="B7" s="6" t="s">
        <v>25</v>
      </c>
      <c r="C7" s="8">
        <v>100000</v>
      </c>
      <c r="D7" s="27">
        <v>0.5</v>
      </c>
      <c r="E7" s="8">
        <v>50000</v>
      </c>
      <c r="F7" s="6">
        <v>41</v>
      </c>
      <c r="G7" s="6">
        <v>73</v>
      </c>
      <c r="H7" s="5" t="s">
        <v>103</v>
      </c>
      <c r="I7" s="5" t="s">
        <v>104</v>
      </c>
      <c r="J7" s="6" t="s">
        <v>105</v>
      </c>
    </row>
    <row r="8" ht="20" customHeight="1" spans="1:11">
      <c r="A8" s="9" t="s">
        <v>106</v>
      </c>
      <c r="B8" s="10" t="s">
        <v>25</v>
      </c>
      <c r="C8" s="12">
        <v>400000</v>
      </c>
      <c r="D8" s="26">
        <v>0.9</v>
      </c>
      <c r="E8" s="12">
        <v>360000</v>
      </c>
      <c r="F8" s="10">
        <v>190</v>
      </c>
      <c r="G8" s="10">
        <v>222</v>
      </c>
      <c r="H8" s="9" t="s">
        <v>107</v>
      </c>
      <c r="I8" s="9" t="s">
        <v>108</v>
      </c>
      <c r="J8" s="10" t="s">
        <v>101</v>
      </c>
    </row>
    <row r="9" ht="20" customHeight="1" spans="1:11">
      <c r="A9" s="5" t="s">
        <v>109</v>
      </c>
      <c r="B9" s="6" t="s">
        <v>25</v>
      </c>
      <c r="C9" s="8">
        <v>50000</v>
      </c>
      <c r="D9" s="27">
        <v>0.5</v>
      </c>
      <c r="E9" s="8">
        <v>25000</v>
      </c>
      <c r="F9" s="6">
        <v>28</v>
      </c>
      <c r="G9" s="6">
        <v>71</v>
      </c>
      <c r="H9" s="5" t="s">
        <v>110</v>
      </c>
      <c r="I9" s="5" t="s">
        <v>111</v>
      </c>
      <c r="J9" s="6" t="s">
        <v>112</v>
      </c>
    </row>
    <row r="10" ht="20" customHeight="1" spans="1:11">
      <c r="A10" s="9" t="s">
        <v>113</v>
      </c>
      <c r="B10" s="10" t="s">
        <v>25</v>
      </c>
      <c r="C10" s="12">
        <v>100000</v>
      </c>
      <c r="D10" s="26">
        <v>0.5</v>
      </c>
      <c r="E10" s="12">
        <v>50000</v>
      </c>
      <c r="F10" s="10">
        <v>44</v>
      </c>
      <c r="G10" s="10">
        <v>57</v>
      </c>
      <c r="H10" s="9" t="s">
        <v>114</v>
      </c>
      <c r="I10" s="9" t="s">
        <v>115</v>
      </c>
      <c r="J10" s="10" t="s">
        <v>105</v>
      </c>
    </row>
    <row r="11" ht="20" customHeight="1" spans="1:11">
      <c r="A11" s="5" t="s">
        <v>116</v>
      </c>
      <c r="B11" s="6" t="s">
        <v>25</v>
      </c>
      <c r="C11" s="8">
        <v>50000</v>
      </c>
      <c r="D11" s="27">
        <v>0.5</v>
      </c>
      <c r="E11" s="8">
        <v>25000</v>
      </c>
      <c r="F11" s="6">
        <v>41</v>
      </c>
      <c r="G11" s="6">
        <v>133</v>
      </c>
      <c r="H11" s="5" t="s">
        <v>117</v>
      </c>
      <c r="I11" s="5" t="s">
        <v>118</v>
      </c>
      <c r="J11" s="6" t="s">
        <v>105</v>
      </c>
    </row>
    <row r="12" ht="20" customHeight="1" spans="1:11">
      <c r="A12" s="9" t="s">
        <v>119</v>
      </c>
      <c r="B12" s="10" t="s">
        <v>25</v>
      </c>
      <c r="C12" s="12">
        <v>300000</v>
      </c>
      <c r="D12" s="26">
        <v>0.8</v>
      </c>
      <c r="E12" s="12">
        <v>240000</v>
      </c>
      <c r="F12" s="10">
        <v>289</v>
      </c>
      <c r="G12" s="10">
        <v>444</v>
      </c>
      <c r="H12" s="9" t="s">
        <v>120</v>
      </c>
      <c r="I12" s="9" t="s">
        <v>121</v>
      </c>
      <c r="J12" s="10" t="s">
        <v>101</v>
      </c>
    </row>
    <row r="13" ht="20" customHeight="1" spans="1:11">
      <c r="A13" s="5" t="s">
        <v>122</v>
      </c>
      <c r="B13" s="6" t="s">
        <v>25</v>
      </c>
      <c r="C13" s="8">
        <v>280000</v>
      </c>
      <c r="D13" s="27">
        <v>0.9</v>
      </c>
      <c r="E13" s="8">
        <v>252000</v>
      </c>
      <c r="F13" s="6">
        <v>0</v>
      </c>
      <c r="G13" s="6">
        <v>0</v>
      </c>
      <c r="H13" s="5" t="s">
        <v>123</v>
      </c>
      <c r="I13" s="5" t="s">
        <v>124</v>
      </c>
      <c r="J13" s="6" t="s">
        <v>101</v>
      </c>
    </row>
    <row r="14" ht="20" customHeight="1" spans="1:11">
      <c r="A14" s="13" t="s">
        <v>125</v>
      </c>
      <c r="B14" s="14" t="s">
        <v>43</v>
      </c>
      <c r="C14" s="15">
        <v>1462961</v>
      </c>
      <c r="D14" s="14" t="s">
        <v>43</v>
      </c>
      <c r="E14" s="15">
        <v>1166665</v>
      </c>
      <c r="F14" s="14">
        <v>725</v>
      </c>
      <c r="G14" s="14">
        <v>1211</v>
      </c>
      <c r="H14" s="13" t="s">
        <v>43</v>
      </c>
      <c r="I14" s="13" t="s">
        <v>43</v>
      </c>
      <c r="J14" s="14" t="s">
        <v>43</v>
      </c>
    </row>
    <row r="15" ht="6" customHeight="1"/>
    <row r="16" ht="22" customHeight="1" spans="1:11">
      <c r="A16" s="2" t="s">
        <v>126</v>
      </c>
    </row>
    <row r="17" ht="35" customHeight="1" spans="1:11">
      <c r="A17" s="25" t="s">
        <v>90</v>
      </c>
      <c r="B17" s="25" t="s">
        <v>21</v>
      </c>
      <c r="C17" s="25" t="s">
        <v>91</v>
      </c>
      <c r="D17" s="25" t="s">
        <v>92</v>
      </c>
      <c r="E17" s="25" t="s">
        <v>93</v>
      </c>
      <c r="F17" s="25" t="s">
        <v>94</v>
      </c>
      <c r="G17" s="25" t="s">
        <v>95</v>
      </c>
      <c r="H17" s="25" t="s">
        <v>96</v>
      </c>
      <c r="I17" s="25" t="s">
        <v>97</v>
      </c>
      <c r="J17" s="25" t="s">
        <v>98</v>
      </c>
      <c r="K17" s="25" t="s">
        <v>15</v>
      </c>
    </row>
    <row r="18" ht="20" customHeight="1" spans="1:11">
      <c r="A18" s="9" t="s">
        <v>127</v>
      </c>
      <c r="B18" s="10" t="s">
        <v>25</v>
      </c>
      <c r="C18" s="12">
        <v>1082961</v>
      </c>
      <c r="D18" s="26">
        <v>0.9</v>
      </c>
      <c r="E18" s="53">
        <v>974665</v>
      </c>
      <c r="F18" s="10">
        <v>545</v>
      </c>
      <c r="G18" s="10">
        <v>1250</v>
      </c>
      <c r="H18" s="9" t="s">
        <v>43</v>
      </c>
      <c r="I18" s="9" t="s">
        <v>100</v>
      </c>
      <c r="J18" s="10" t="s">
        <v>101</v>
      </c>
    </row>
    <row r="19" ht="20" customHeight="1" spans="1:11">
      <c r="A19" s="5" t="s">
        <v>128</v>
      </c>
      <c r="B19" s="6" t="s">
        <v>25</v>
      </c>
      <c r="C19" s="8">
        <v>100000</v>
      </c>
      <c r="D19" s="27">
        <v>0.5</v>
      </c>
      <c r="E19" s="54">
        <v>50000</v>
      </c>
      <c r="F19" s="6">
        <v>41</v>
      </c>
      <c r="G19" s="6">
        <v>73</v>
      </c>
      <c r="H19" s="5" t="s">
        <v>43</v>
      </c>
      <c r="I19" s="5" t="s">
        <v>43</v>
      </c>
      <c r="J19" s="6" t="s">
        <v>105</v>
      </c>
    </row>
    <row r="20" ht="20" customHeight="1" spans="1:11">
      <c r="A20" s="9" t="s">
        <v>129</v>
      </c>
      <c r="B20" s="10" t="s">
        <v>25</v>
      </c>
      <c r="C20" s="12">
        <v>600000</v>
      </c>
      <c r="D20" s="26">
        <v>0.9</v>
      </c>
      <c r="E20" s="53">
        <v>540000</v>
      </c>
      <c r="F20" s="10">
        <v>286</v>
      </c>
      <c r="G20" s="10">
        <v>332</v>
      </c>
      <c r="H20" s="9" t="s">
        <v>43</v>
      </c>
      <c r="I20" s="9" t="s">
        <v>108</v>
      </c>
      <c r="J20" s="10" t="s">
        <v>101</v>
      </c>
    </row>
    <row r="21" ht="20" customHeight="1" spans="1:11">
      <c r="A21" s="5" t="s">
        <v>130</v>
      </c>
      <c r="B21" s="6" t="s">
        <v>25</v>
      </c>
      <c r="C21" s="8">
        <v>500000</v>
      </c>
      <c r="D21" s="27">
        <v>0.8</v>
      </c>
      <c r="E21" s="54">
        <v>400000</v>
      </c>
      <c r="F21" s="6">
        <v>283</v>
      </c>
      <c r="G21" s="6">
        <v>709</v>
      </c>
      <c r="H21" s="5" t="s">
        <v>131</v>
      </c>
      <c r="I21" s="5" t="s">
        <v>111</v>
      </c>
      <c r="J21" s="6" t="s">
        <v>132</v>
      </c>
    </row>
    <row r="22" ht="20" customHeight="1" spans="1:11">
      <c r="A22" s="9" t="s">
        <v>133</v>
      </c>
      <c r="B22" s="10" t="s">
        <v>25</v>
      </c>
      <c r="C22" s="12">
        <v>200000</v>
      </c>
      <c r="D22" s="26">
        <v>0.5</v>
      </c>
      <c r="E22" s="53">
        <v>100000</v>
      </c>
      <c r="F22" s="10">
        <v>88</v>
      </c>
      <c r="G22" s="10">
        <v>114</v>
      </c>
      <c r="H22" s="9" t="s">
        <v>134</v>
      </c>
      <c r="I22" s="9" t="s">
        <v>115</v>
      </c>
      <c r="J22" s="10" t="s">
        <v>105</v>
      </c>
    </row>
    <row r="23" ht="20" customHeight="1" spans="1:11">
      <c r="A23" s="5" t="s">
        <v>135</v>
      </c>
      <c r="B23" s="6" t="s">
        <v>25</v>
      </c>
      <c r="C23" s="8">
        <v>100000</v>
      </c>
      <c r="D23" s="27">
        <v>0.8</v>
      </c>
      <c r="E23" s="54">
        <v>80000</v>
      </c>
      <c r="F23" s="6">
        <v>81</v>
      </c>
      <c r="G23" s="6">
        <v>267</v>
      </c>
      <c r="H23" s="5" t="s">
        <v>43</v>
      </c>
      <c r="I23" s="5" t="s">
        <v>118</v>
      </c>
      <c r="J23" s="6" t="s">
        <v>101</v>
      </c>
    </row>
    <row r="24" ht="20" customHeight="1" spans="1:11">
      <c r="A24" s="9" t="s">
        <v>136</v>
      </c>
      <c r="B24" s="10" t="s">
        <v>25</v>
      </c>
      <c r="C24" s="12">
        <v>400000</v>
      </c>
      <c r="D24" s="26">
        <v>0.8</v>
      </c>
      <c r="E24" s="53">
        <v>320000</v>
      </c>
      <c r="F24" s="10">
        <v>165</v>
      </c>
      <c r="G24" s="10">
        <v>326</v>
      </c>
      <c r="H24" s="9" t="s">
        <v>137</v>
      </c>
      <c r="I24" s="9" t="s">
        <v>121</v>
      </c>
      <c r="J24" s="10" t="s">
        <v>101</v>
      </c>
    </row>
    <row r="25" ht="20" customHeight="1" spans="1:11">
      <c r="A25" s="42" t="s">
        <v>138</v>
      </c>
      <c r="B25" s="43" t="s">
        <v>139</v>
      </c>
      <c r="C25" s="55">
        <v>200000</v>
      </c>
      <c r="D25" s="45">
        <v>0.2</v>
      </c>
      <c r="E25" s="56">
        <v>40000</v>
      </c>
      <c r="F25" s="43">
        <v>0</v>
      </c>
      <c r="G25" s="43">
        <v>0</v>
      </c>
      <c r="H25" s="42" t="s">
        <v>140</v>
      </c>
      <c r="I25" s="42" t="s">
        <v>141</v>
      </c>
      <c r="J25" s="43" t="s">
        <v>142</v>
      </c>
    </row>
    <row r="26" ht="20" customHeight="1" spans="1:11">
      <c r="A26" s="38" t="s">
        <v>143</v>
      </c>
      <c r="B26" s="39" t="s">
        <v>139</v>
      </c>
      <c r="C26" s="57">
        <v>280000</v>
      </c>
      <c r="D26" s="41">
        <v>0.6</v>
      </c>
      <c r="E26" s="58">
        <v>168000</v>
      </c>
      <c r="F26" s="39">
        <v>0</v>
      </c>
      <c r="G26" s="39">
        <v>0</v>
      </c>
      <c r="H26" s="38" t="s">
        <v>43</v>
      </c>
      <c r="I26" s="38" t="s">
        <v>43</v>
      </c>
      <c r="J26" s="39" t="s">
        <v>105</v>
      </c>
    </row>
    <row r="27" ht="20" customHeight="1" spans="1:11">
      <c r="A27" s="42" t="s">
        <v>144</v>
      </c>
      <c r="B27" s="43" t="s">
        <v>139</v>
      </c>
      <c r="C27" s="55">
        <v>350000</v>
      </c>
      <c r="D27" s="45">
        <v>0.6</v>
      </c>
      <c r="E27" s="56">
        <v>210000</v>
      </c>
      <c r="F27" s="43">
        <v>0</v>
      </c>
      <c r="G27" s="43">
        <v>0</v>
      </c>
      <c r="H27" s="42" t="s">
        <v>43</v>
      </c>
      <c r="I27" s="42" t="s">
        <v>43</v>
      </c>
      <c r="J27" s="43" t="s">
        <v>105</v>
      </c>
    </row>
    <row r="28" ht="20" customHeight="1" spans="1:11">
      <c r="A28" s="38" t="s">
        <v>145</v>
      </c>
      <c r="B28" s="39" t="s">
        <v>139</v>
      </c>
      <c r="C28" s="57">
        <v>350000</v>
      </c>
      <c r="D28" s="41">
        <v>0.9</v>
      </c>
      <c r="E28" s="58">
        <v>315000</v>
      </c>
      <c r="F28" s="39">
        <v>0</v>
      </c>
      <c r="G28" s="39">
        <v>0</v>
      </c>
      <c r="H28" s="38" t="s">
        <v>43</v>
      </c>
      <c r="I28" s="38" t="s">
        <v>124</v>
      </c>
      <c r="J28" s="39" t="s">
        <v>101</v>
      </c>
    </row>
    <row r="29" ht="20" customHeight="1" spans="1:11">
      <c r="A29" s="42" t="s">
        <v>146</v>
      </c>
      <c r="B29" s="43" t="s">
        <v>139</v>
      </c>
      <c r="C29" s="55">
        <v>48000</v>
      </c>
      <c r="D29" s="45">
        <v>1</v>
      </c>
      <c r="E29" s="56">
        <v>48000</v>
      </c>
      <c r="F29" s="43">
        <v>0</v>
      </c>
      <c r="G29" s="43">
        <v>0</v>
      </c>
      <c r="H29" s="42" t="s">
        <v>147</v>
      </c>
      <c r="I29" s="42" t="s">
        <v>43</v>
      </c>
      <c r="J29" s="43" t="s">
        <v>147</v>
      </c>
    </row>
    <row r="30" ht="20" customHeight="1" spans="1:11">
      <c r="A30" s="38" t="s">
        <v>148</v>
      </c>
      <c r="B30" s="39" t="s">
        <v>139</v>
      </c>
      <c r="C30" s="57">
        <v>150000</v>
      </c>
      <c r="D30" s="41">
        <v>0.5</v>
      </c>
      <c r="E30" s="58">
        <v>75000</v>
      </c>
      <c r="F30" s="39">
        <v>0</v>
      </c>
      <c r="G30" s="39">
        <v>0</v>
      </c>
      <c r="H30" s="38" t="s">
        <v>43</v>
      </c>
      <c r="I30" s="38" t="s">
        <v>43</v>
      </c>
      <c r="J30" s="39" t="s">
        <v>105</v>
      </c>
    </row>
    <row r="31" ht="20" customHeight="1" spans="1:11">
      <c r="A31" s="42" t="s">
        <v>149</v>
      </c>
      <c r="B31" s="43" t="s">
        <v>139</v>
      </c>
      <c r="C31" s="55">
        <v>375000</v>
      </c>
      <c r="D31" s="45">
        <v>0.5</v>
      </c>
      <c r="E31" s="56">
        <v>187500</v>
      </c>
      <c r="F31" s="43">
        <v>0</v>
      </c>
      <c r="G31" s="43">
        <v>0</v>
      </c>
      <c r="H31" s="42" t="s">
        <v>43</v>
      </c>
      <c r="I31" s="42" t="s">
        <v>43</v>
      </c>
      <c r="J31" s="43" t="s">
        <v>105</v>
      </c>
    </row>
    <row r="32" ht="20" customHeight="1" spans="1:11">
      <c r="A32" s="38" t="s">
        <v>150</v>
      </c>
      <c r="B32" s="39" t="s">
        <v>139</v>
      </c>
      <c r="C32" s="57">
        <v>400000</v>
      </c>
      <c r="D32" s="41">
        <v>0.6</v>
      </c>
      <c r="E32" s="58">
        <v>240000</v>
      </c>
      <c r="F32" s="39">
        <v>0</v>
      </c>
      <c r="G32" s="39">
        <v>0</v>
      </c>
      <c r="H32" s="38" t="s">
        <v>43</v>
      </c>
      <c r="I32" s="38" t="s">
        <v>43</v>
      </c>
      <c r="J32" s="39" t="s">
        <v>105</v>
      </c>
    </row>
    <row r="33" ht="20" customHeight="1" spans="1:10">
      <c r="A33" s="42" t="s">
        <v>151</v>
      </c>
      <c r="B33" s="43" t="s">
        <v>139</v>
      </c>
      <c r="C33" s="55">
        <v>1000000</v>
      </c>
      <c r="D33" s="45">
        <v>0.2</v>
      </c>
      <c r="E33" s="56">
        <v>200000</v>
      </c>
      <c r="F33" s="43">
        <v>0</v>
      </c>
      <c r="G33" s="43">
        <v>0</v>
      </c>
      <c r="H33" s="42" t="s">
        <v>152</v>
      </c>
      <c r="I33" s="42" t="s">
        <v>43</v>
      </c>
      <c r="J33" s="43" t="s">
        <v>142</v>
      </c>
    </row>
    <row r="34" ht="20" customHeight="1" spans="1:10">
      <c r="A34" s="13" t="s">
        <v>153</v>
      </c>
      <c r="B34" s="14" t="s">
        <v>43</v>
      </c>
      <c r="C34" s="15">
        <v>5735961</v>
      </c>
      <c r="D34" s="14" t="s">
        <v>43</v>
      </c>
      <c r="E34" s="15">
        <v>3948165</v>
      </c>
      <c r="F34" s="14">
        <v>1490</v>
      </c>
      <c r="G34" s="14">
        <v>3071</v>
      </c>
      <c r="H34" s="13" t="s">
        <v>43</v>
      </c>
      <c r="I34" s="13" t="s">
        <v>43</v>
      </c>
      <c r="J34" s="14" t="s">
        <v>43</v>
      </c>
    </row>
    <row r="36" spans="1:10">
      <c r="A36" t="s">
        <v>90</v>
      </c>
      <c r="B36" t="s">
        <v>93</v>
      </c>
    </row>
    <row r="37" spans="1:10">
      <c r="A37" t="s">
        <v>154</v>
      </c>
      <c r="B37">
        <v>1139330</v>
      </c>
    </row>
    <row r="38" spans="1:10">
      <c r="A38" t="s">
        <v>155</v>
      </c>
      <c r="B38">
        <v>900000</v>
      </c>
    </row>
    <row r="39" spans="1:10">
      <c r="A39" t="s">
        <v>156</v>
      </c>
      <c r="B39">
        <v>425000</v>
      </c>
    </row>
    <row r="40" spans="1:10">
      <c r="A40" t="s">
        <v>157</v>
      </c>
      <c r="B40">
        <v>560000</v>
      </c>
    </row>
    <row r="41" spans="1:10">
      <c r="A41" t="s">
        <v>158</v>
      </c>
      <c r="B41">
        <v>567000</v>
      </c>
    </row>
    <row r="42" spans="1:10">
      <c r="A42" t="s">
        <v>159</v>
      </c>
      <c r="B42">
        <v>1283500</v>
      </c>
    </row>
  </sheetData>
  <mergeCells count="4">
    <mergeCell ref="A1:K1"/>
    <mergeCell ref="A2:K2"/>
    <mergeCell ref="A4:K4"/>
    <mergeCell ref="A16:K16"/>
  </mergeCells>
  <conditionalFormatting sqref="D6:D13">
    <cfRule type="cellIs" dxfId="0" priority="1" operator="greaterThanOrEqual">
      <formula>0.8</formula>
    </cfRule>
    <cfRule type="cellIs" dxfId="1" priority="2" operator="between">
      <formula>0.5</formula>
      <formula>0.79</formula>
    </cfRule>
    <cfRule type="cellIs" dxfId="2" priority="3" operator="lessThan">
      <formula>0.5</formula>
    </cfRule>
  </conditionalFormatting>
  <conditionalFormatting sqref="D18:D33">
    <cfRule type="cellIs" dxfId="0" priority="4" operator="greaterThanOrEqual">
      <formula>0.8</formula>
    </cfRule>
    <cfRule type="cellIs" dxfId="1" priority="5" operator="between">
      <formula>0.5</formula>
      <formula>0.79</formula>
    </cfRule>
    <cfRule type="cellIs" dxfId="2" priority="6" operator="lessThan">
      <formula>0.5</formula>
    </cfRule>
  </conditionalFormatting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showGridLines="0" workbookViewId="0">
      <selection activeCell="G17" sqref="G17"/>
    </sheetView>
  </sheetViews>
  <sheetFormatPr defaultColWidth="9" defaultRowHeight="16.8" outlineLevelCol="7"/>
  <cols>
    <col min="1" max="1" width="26" customWidth="1"/>
    <col min="2" max="3" width="14" customWidth="1"/>
    <col min="4" max="4" width="21.6875" customWidth="1"/>
    <col min="5" max="5" width="14" customWidth="1"/>
    <col min="6" max="6" width="12" customWidth="1"/>
    <col min="7" max="7" width="14" customWidth="1"/>
    <col min="8" max="8" width="20" customWidth="1"/>
  </cols>
  <sheetData>
    <row r="1" ht="35" customHeight="1" spans="1:8">
      <c r="A1" s="28" t="s">
        <v>160</v>
      </c>
    </row>
    <row r="3" ht="22" customHeight="1" spans="1:8">
      <c r="A3" s="2" t="s">
        <v>161</v>
      </c>
    </row>
    <row r="4" ht="30" customHeight="1" spans="1:8">
      <c r="A4" s="3" t="s">
        <v>16</v>
      </c>
      <c r="B4" s="3" t="s">
        <v>162</v>
      </c>
      <c r="C4" s="3" t="s">
        <v>81</v>
      </c>
      <c r="D4" s="3" t="s">
        <v>82</v>
      </c>
      <c r="E4" s="3" t="s">
        <v>163</v>
      </c>
      <c r="F4" s="3" t="s">
        <v>164</v>
      </c>
      <c r="G4" s="3" t="s">
        <v>165</v>
      </c>
      <c r="H4" s="3" t="s">
        <v>166</v>
      </c>
    </row>
    <row r="5" ht="20" customHeight="1" spans="1:8">
      <c r="A5" s="29" t="s">
        <v>24</v>
      </c>
      <c r="B5" s="30">
        <v>1617039</v>
      </c>
      <c r="C5" s="30">
        <v>1781704</v>
      </c>
      <c r="D5" s="30">
        <v>2430000</v>
      </c>
      <c r="E5" s="30">
        <v>5828743</v>
      </c>
      <c r="F5" s="30">
        <v>1139330</v>
      </c>
      <c r="G5" s="31" t="s">
        <v>167</v>
      </c>
      <c r="H5" s="31" t="s">
        <v>168</v>
      </c>
    </row>
    <row r="6" ht="20" customHeight="1" spans="1:8">
      <c r="A6" s="32" t="s">
        <v>28</v>
      </c>
      <c r="B6" s="33">
        <v>1640934</v>
      </c>
      <c r="C6" s="33">
        <v>2000934</v>
      </c>
      <c r="D6" s="33">
        <v>2016841</v>
      </c>
      <c r="E6" s="33">
        <v>5658709</v>
      </c>
      <c r="F6" s="33">
        <v>900000</v>
      </c>
      <c r="G6" s="34" t="s">
        <v>169</v>
      </c>
      <c r="H6" s="34" t="s">
        <v>168</v>
      </c>
    </row>
    <row r="7" ht="20" customHeight="1" spans="1:8">
      <c r="A7" s="29" t="s">
        <v>31</v>
      </c>
      <c r="B7" s="30">
        <v>1307400</v>
      </c>
      <c r="C7" s="30">
        <v>1357400</v>
      </c>
      <c r="D7" s="30">
        <v>753694</v>
      </c>
      <c r="E7" s="30">
        <v>3418494</v>
      </c>
      <c r="F7" s="30">
        <v>150000</v>
      </c>
      <c r="G7" s="31" t="s">
        <v>170</v>
      </c>
      <c r="H7" s="31" t="s">
        <v>168</v>
      </c>
    </row>
    <row r="8" ht="20" customHeight="1" spans="1:8">
      <c r="A8" s="32" t="s">
        <v>34</v>
      </c>
      <c r="B8" s="33">
        <v>210887</v>
      </c>
      <c r="C8" s="33">
        <v>450887</v>
      </c>
      <c r="D8" s="33">
        <v>488710</v>
      </c>
      <c r="E8" s="33">
        <v>1150484</v>
      </c>
      <c r="F8" s="33">
        <v>560000</v>
      </c>
      <c r="G8" s="34" t="s">
        <v>171</v>
      </c>
      <c r="H8" s="34" t="s">
        <v>168</v>
      </c>
    </row>
    <row r="9" ht="20" customHeight="1" spans="1:8">
      <c r="A9" s="29" t="s">
        <v>35</v>
      </c>
      <c r="B9" s="30">
        <v>148821</v>
      </c>
      <c r="C9" s="30">
        <v>198821</v>
      </c>
      <c r="D9" s="30">
        <v>124411</v>
      </c>
      <c r="E9" s="30">
        <v>472053</v>
      </c>
      <c r="F9" s="30">
        <v>100000</v>
      </c>
      <c r="G9" s="31" t="s">
        <v>172</v>
      </c>
      <c r="H9" s="31" t="s">
        <v>173</v>
      </c>
    </row>
    <row r="10" ht="20" customHeight="1" spans="1:8">
      <c r="A10" s="32" t="s">
        <v>86</v>
      </c>
      <c r="B10" s="33">
        <v>0</v>
      </c>
      <c r="C10" s="33">
        <v>25000</v>
      </c>
      <c r="D10" s="33">
        <v>400000</v>
      </c>
      <c r="E10" s="33">
        <v>425000</v>
      </c>
      <c r="F10" s="33">
        <v>425000</v>
      </c>
      <c r="G10" s="34" t="s">
        <v>174</v>
      </c>
      <c r="H10" s="34" t="s">
        <v>175</v>
      </c>
    </row>
    <row r="11" ht="20" customHeight="1" spans="1:8">
      <c r="A11" s="29" t="s">
        <v>85</v>
      </c>
      <c r="B11" s="30">
        <v>25843</v>
      </c>
      <c r="C11" s="30">
        <v>50843</v>
      </c>
      <c r="D11" s="30">
        <v>100650</v>
      </c>
      <c r="E11" s="30">
        <v>177336</v>
      </c>
      <c r="F11" s="30">
        <v>105000</v>
      </c>
      <c r="G11" s="31" t="s">
        <v>176</v>
      </c>
      <c r="H11" s="31" t="s">
        <v>168</v>
      </c>
    </row>
    <row r="12" ht="20" customHeight="1" spans="1:8">
      <c r="A12" s="35" t="s">
        <v>177</v>
      </c>
      <c r="B12" s="36">
        <v>4950924</v>
      </c>
      <c r="C12" s="36">
        <v>5865589</v>
      </c>
      <c r="D12" s="36">
        <v>6314306</v>
      </c>
      <c r="E12" s="36">
        <v>17130823</v>
      </c>
      <c r="F12" s="36">
        <v>3379330</v>
      </c>
      <c r="G12" s="37" t="s">
        <v>178</v>
      </c>
      <c r="H12" s="37" t="s">
        <v>168</v>
      </c>
    </row>
    <row r="14" ht="22" customHeight="1" spans="1:8">
      <c r="A14" s="2" t="s">
        <v>179</v>
      </c>
    </row>
    <row r="15" ht="30" customHeight="1" spans="1:8">
      <c r="A15" s="3" t="s">
        <v>180</v>
      </c>
      <c r="B15" s="3" t="s">
        <v>21</v>
      </c>
      <c r="C15" s="3" t="s">
        <v>181</v>
      </c>
      <c r="D15" s="3" t="s">
        <v>92</v>
      </c>
      <c r="E15" s="3" t="s">
        <v>93</v>
      </c>
      <c r="F15" s="3" t="s">
        <v>182</v>
      </c>
      <c r="G15" s="3" t="s">
        <v>97</v>
      </c>
      <c r="H15" s="3" t="s">
        <v>15</v>
      </c>
    </row>
    <row r="16" ht="20" customHeight="1" spans="1:8">
      <c r="A16" s="38" t="s">
        <v>183</v>
      </c>
      <c r="B16" s="39" t="s">
        <v>184</v>
      </c>
      <c r="C16" s="40">
        <v>200000</v>
      </c>
      <c r="D16" s="41">
        <v>0.2</v>
      </c>
      <c r="E16" s="40">
        <v>40000</v>
      </c>
      <c r="F16" s="39" t="s">
        <v>29</v>
      </c>
      <c r="G16" s="39" t="s">
        <v>141</v>
      </c>
      <c r="H16" s="39" t="s">
        <v>185</v>
      </c>
    </row>
    <row r="17" ht="20" customHeight="1" spans="1:8">
      <c r="A17" s="42" t="s">
        <v>143</v>
      </c>
      <c r="B17" s="43" t="s">
        <v>184</v>
      </c>
      <c r="C17" s="44">
        <v>280000</v>
      </c>
      <c r="D17" s="45">
        <v>0.6</v>
      </c>
      <c r="E17" s="44">
        <v>168000</v>
      </c>
      <c r="F17" s="43" t="s">
        <v>29</v>
      </c>
      <c r="G17" s="43" t="s">
        <v>43</v>
      </c>
      <c r="H17" s="43" t="s">
        <v>186</v>
      </c>
    </row>
    <row r="18" ht="20" customHeight="1" spans="1:8">
      <c r="A18" s="38" t="s">
        <v>144</v>
      </c>
      <c r="B18" s="39" t="s">
        <v>184</v>
      </c>
      <c r="C18" s="40">
        <v>350000</v>
      </c>
      <c r="D18" s="41">
        <v>0.6</v>
      </c>
      <c r="E18" s="40">
        <v>210000</v>
      </c>
      <c r="F18" s="39" t="s">
        <v>29</v>
      </c>
      <c r="G18" s="39" t="s">
        <v>43</v>
      </c>
      <c r="H18" s="39" t="s">
        <v>186</v>
      </c>
    </row>
    <row r="19" ht="20" customHeight="1" spans="1:8">
      <c r="A19" s="42" t="s">
        <v>187</v>
      </c>
      <c r="B19" s="43" t="s">
        <v>188</v>
      </c>
      <c r="C19" s="44">
        <v>350000</v>
      </c>
      <c r="D19" s="45">
        <v>0.9</v>
      </c>
      <c r="E19" s="44">
        <v>315000</v>
      </c>
      <c r="F19" s="43" t="s">
        <v>29</v>
      </c>
      <c r="G19" s="43" t="s">
        <v>124</v>
      </c>
      <c r="H19" s="43" t="s">
        <v>189</v>
      </c>
    </row>
    <row r="20" ht="20" customHeight="1" spans="1:8">
      <c r="A20" s="38" t="s">
        <v>146</v>
      </c>
      <c r="B20" s="39" t="s">
        <v>190</v>
      </c>
      <c r="C20" s="40">
        <v>48000</v>
      </c>
      <c r="D20" s="41">
        <v>1</v>
      </c>
      <c r="E20" s="40">
        <v>48000</v>
      </c>
      <c r="F20" s="39" t="s">
        <v>29</v>
      </c>
      <c r="G20" s="39" t="s">
        <v>43</v>
      </c>
      <c r="H20" s="39" t="s">
        <v>147</v>
      </c>
    </row>
    <row r="21" ht="20" customHeight="1" spans="1:8">
      <c r="A21" s="42" t="s">
        <v>148</v>
      </c>
      <c r="B21" s="43" t="s">
        <v>190</v>
      </c>
      <c r="C21" s="44">
        <v>150000</v>
      </c>
      <c r="D21" s="45">
        <v>0.5</v>
      </c>
      <c r="E21" s="44">
        <v>75000</v>
      </c>
      <c r="F21" s="43" t="s">
        <v>29</v>
      </c>
      <c r="G21" s="43" t="s">
        <v>43</v>
      </c>
      <c r="H21" s="43" t="s">
        <v>191</v>
      </c>
    </row>
    <row r="22" ht="20" customHeight="1" spans="1:8">
      <c r="A22" s="38" t="s">
        <v>149</v>
      </c>
      <c r="B22" s="39" t="s">
        <v>190</v>
      </c>
      <c r="C22" s="40">
        <v>375000</v>
      </c>
      <c r="D22" s="41">
        <v>0.5</v>
      </c>
      <c r="E22" s="40">
        <v>187500</v>
      </c>
      <c r="F22" s="39" t="s">
        <v>29</v>
      </c>
      <c r="G22" s="39" t="s">
        <v>43</v>
      </c>
      <c r="H22" s="39" t="s">
        <v>191</v>
      </c>
    </row>
    <row r="23" ht="20" customHeight="1" spans="1:8">
      <c r="A23" s="42" t="s">
        <v>192</v>
      </c>
      <c r="B23" s="43" t="s">
        <v>193</v>
      </c>
      <c r="C23" s="44">
        <v>400000</v>
      </c>
      <c r="D23" s="45">
        <v>0.6</v>
      </c>
      <c r="E23" s="44">
        <v>240000</v>
      </c>
      <c r="F23" s="43" t="s">
        <v>29</v>
      </c>
      <c r="G23" s="43" t="s">
        <v>43</v>
      </c>
      <c r="H23" s="43" t="s">
        <v>53</v>
      </c>
    </row>
    <row r="24" ht="20" customHeight="1" spans="1:8">
      <c r="A24" s="38" t="s">
        <v>151</v>
      </c>
      <c r="B24" s="39" t="s">
        <v>194</v>
      </c>
      <c r="C24" s="40">
        <v>1000000</v>
      </c>
      <c r="D24" s="41">
        <v>0.2</v>
      </c>
      <c r="E24" s="40">
        <v>200000</v>
      </c>
      <c r="F24" s="39" t="s">
        <v>29</v>
      </c>
      <c r="G24" s="39" t="s">
        <v>43</v>
      </c>
      <c r="H24" s="39" t="s">
        <v>185</v>
      </c>
    </row>
    <row r="25" ht="20" customHeight="1" spans="1:8">
      <c r="A25" s="13" t="s">
        <v>195</v>
      </c>
      <c r="B25" s="14" t="s">
        <v>43</v>
      </c>
      <c r="C25" s="15">
        <v>3153000</v>
      </c>
      <c r="D25" s="14" t="s">
        <v>43</v>
      </c>
      <c r="E25" s="46">
        <v>1483500</v>
      </c>
      <c r="F25" s="14" t="s">
        <v>43</v>
      </c>
      <c r="G25" s="14" t="s">
        <v>43</v>
      </c>
      <c r="H25" s="14" t="s">
        <v>43</v>
      </c>
    </row>
    <row r="26" ht="8" customHeight="1"/>
    <row r="27" ht="22" customHeight="1" spans="1:8">
      <c r="A27" s="2" t="s">
        <v>196</v>
      </c>
    </row>
    <row r="28" ht="20" customHeight="1" spans="1:8">
      <c r="A28" s="47" t="s">
        <v>197</v>
      </c>
      <c r="B28" s="48" t="s">
        <v>198</v>
      </c>
      <c r="C28" s="48" t="s">
        <v>199</v>
      </c>
      <c r="D28" s="48" t="s">
        <v>200</v>
      </c>
    </row>
    <row r="29" ht="20" customHeight="1" spans="1:8">
      <c r="A29" s="32" t="s">
        <v>201</v>
      </c>
      <c r="B29" s="33">
        <v>1166665</v>
      </c>
      <c r="C29" s="49">
        <v>0.233</v>
      </c>
      <c r="D29" s="34" t="s">
        <v>202</v>
      </c>
    </row>
    <row r="30" ht="20" customHeight="1" spans="1:8">
      <c r="A30" s="29" t="s">
        <v>203</v>
      </c>
      <c r="B30" s="30">
        <v>2464165</v>
      </c>
      <c r="C30" s="50">
        <v>0.493</v>
      </c>
      <c r="D30" s="31" t="s">
        <v>204</v>
      </c>
    </row>
    <row r="31" ht="20" customHeight="1" spans="1:8">
      <c r="A31" s="32" t="s">
        <v>205</v>
      </c>
      <c r="B31" s="33">
        <v>1483500</v>
      </c>
      <c r="C31" s="49">
        <v>0.297</v>
      </c>
      <c r="D31" s="34" t="s">
        <v>206</v>
      </c>
    </row>
    <row r="32" ht="20" customHeight="1" spans="1:8">
      <c r="A32" s="35" t="s">
        <v>207</v>
      </c>
      <c r="B32" s="36">
        <v>5114330</v>
      </c>
      <c r="C32" s="51">
        <v>1.023</v>
      </c>
      <c r="D32" s="37" t="s">
        <v>208</v>
      </c>
    </row>
  </sheetData>
  <mergeCells count="4">
    <mergeCell ref="A1:H1"/>
    <mergeCell ref="A3:H3"/>
    <mergeCell ref="A14:H14"/>
    <mergeCell ref="A27:H2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showGridLines="0" topLeftCell="A9" workbookViewId="0">
      <selection activeCell="F6" sqref="F6:F20"/>
    </sheetView>
  </sheetViews>
  <sheetFormatPr defaultColWidth="9" defaultRowHeight="16.8"/>
  <cols>
    <col min="1" max="1" width="28" customWidth="1"/>
    <col min="2" max="2" width="22" customWidth="1"/>
    <col min="3" max="3" width="8" customWidth="1"/>
    <col min="4" max="4" width="14" customWidth="1"/>
    <col min="5" max="5" width="11" customWidth="1"/>
    <col min="6" max="6" width="12" customWidth="1"/>
    <col min="7" max="7" width="18" customWidth="1"/>
    <col min="8" max="8" width="40" customWidth="1"/>
    <col min="9" max="9" width="14" customWidth="1"/>
    <col min="10" max="10" width="16" customWidth="1"/>
  </cols>
  <sheetData>
    <row r="1" ht="35" customHeight="1" spans="1:10">
      <c r="A1" s="1" t="s">
        <v>209</v>
      </c>
    </row>
    <row r="2" ht="22" customHeight="1" spans="1:10">
      <c r="A2" s="24" t="s">
        <v>210</v>
      </c>
    </row>
    <row r="4" ht="22" customHeight="1" spans="1:10">
      <c r="A4" s="2" t="s">
        <v>211</v>
      </c>
    </row>
    <row r="5" ht="35" customHeight="1" spans="1:10">
      <c r="A5" s="25" t="s">
        <v>212</v>
      </c>
      <c r="B5" s="25" t="s">
        <v>213</v>
      </c>
      <c r="C5" s="25" t="s">
        <v>9</v>
      </c>
      <c r="D5" s="25" t="s">
        <v>181</v>
      </c>
      <c r="E5" s="25" t="s">
        <v>214</v>
      </c>
      <c r="F5" s="25" t="s">
        <v>215</v>
      </c>
      <c r="G5" s="25" t="s">
        <v>216</v>
      </c>
      <c r="H5" s="25" t="s">
        <v>217</v>
      </c>
      <c r="I5" s="25" t="s">
        <v>218</v>
      </c>
      <c r="J5" s="25" t="s">
        <v>219</v>
      </c>
    </row>
    <row r="6" ht="32" customHeight="1" spans="1:10">
      <c r="A6" s="9" t="s">
        <v>220</v>
      </c>
      <c r="B6" s="9" t="s">
        <v>86</v>
      </c>
      <c r="C6" s="10" t="s">
        <v>52</v>
      </c>
      <c r="D6" s="12">
        <v>1500000</v>
      </c>
      <c r="E6" s="26">
        <v>0.5</v>
      </c>
      <c r="F6" s="12">
        <v>750000</v>
      </c>
      <c r="G6" s="9" t="s">
        <v>111</v>
      </c>
      <c r="H6" s="9" t="s">
        <v>221</v>
      </c>
      <c r="I6" s="10" t="s">
        <v>222</v>
      </c>
      <c r="J6" s="10" t="s">
        <v>112</v>
      </c>
    </row>
    <row r="7" ht="32" customHeight="1" spans="1:10">
      <c r="A7" s="5" t="s">
        <v>223</v>
      </c>
      <c r="B7" s="5" t="s">
        <v>28</v>
      </c>
      <c r="C7" s="6" t="s">
        <v>52</v>
      </c>
      <c r="D7" s="8">
        <v>2000000</v>
      </c>
      <c r="E7" s="27">
        <v>0.9</v>
      </c>
      <c r="F7" s="8">
        <v>1800000</v>
      </c>
      <c r="G7" s="5" t="s">
        <v>224</v>
      </c>
      <c r="H7" s="5" t="s">
        <v>225</v>
      </c>
      <c r="I7" s="6" t="s">
        <v>226</v>
      </c>
      <c r="J7" s="6" t="s">
        <v>53</v>
      </c>
    </row>
    <row r="8" ht="32" customHeight="1" spans="1:10">
      <c r="A8" s="9" t="s">
        <v>227</v>
      </c>
      <c r="B8" s="9" t="s">
        <v>28</v>
      </c>
      <c r="C8" s="10" t="s">
        <v>52</v>
      </c>
      <c r="D8" s="12">
        <v>280000</v>
      </c>
      <c r="E8" s="26">
        <v>0.9</v>
      </c>
      <c r="F8" s="12">
        <v>252000</v>
      </c>
      <c r="G8" s="9" t="s">
        <v>124</v>
      </c>
      <c r="H8" s="9" t="s">
        <v>228</v>
      </c>
      <c r="I8" s="10" t="s">
        <v>222</v>
      </c>
      <c r="J8" s="10" t="s">
        <v>229</v>
      </c>
    </row>
    <row r="9" ht="32" customHeight="1" spans="1:10">
      <c r="A9" s="5" t="s">
        <v>230</v>
      </c>
      <c r="B9" s="5" t="s">
        <v>34</v>
      </c>
      <c r="C9" s="6" t="s">
        <v>52</v>
      </c>
      <c r="D9" s="8">
        <v>300000</v>
      </c>
      <c r="E9" s="27">
        <v>0.8</v>
      </c>
      <c r="F9" s="8">
        <v>240000</v>
      </c>
      <c r="G9" s="5" t="s">
        <v>121</v>
      </c>
      <c r="H9" s="5" t="s">
        <v>231</v>
      </c>
      <c r="I9" s="6" t="s">
        <v>232</v>
      </c>
      <c r="J9" s="6" t="s">
        <v>233</v>
      </c>
    </row>
    <row r="10" ht="32" customHeight="1" spans="1:10">
      <c r="A10" s="9" t="s">
        <v>234</v>
      </c>
      <c r="B10" s="9" t="s">
        <v>31</v>
      </c>
      <c r="C10" s="10" t="s">
        <v>52</v>
      </c>
      <c r="D10" s="12">
        <v>100000</v>
      </c>
      <c r="E10" s="26">
        <v>0.5</v>
      </c>
      <c r="F10" s="12">
        <v>50000</v>
      </c>
      <c r="G10" s="9" t="s">
        <v>235</v>
      </c>
      <c r="H10" s="9" t="s">
        <v>236</v>
      </c>
      <c r="I10" s="10" t="s">
        <v>237</v>
      </c>
      <c r="J10" s="10" t="s">
        <v>238</v>
      </c>
    </row>
    <row r="11" ht="32" customHeight="1" spans="1:10">
      <c r="A11" s="5" t="s">
        <v>239</v>
      </c>
      <c r="B11" s="5" t="s">
        <v>35</v>
      </c>
      <c r="C11" s="6" t="s">
        <v>52</v>
      </c>
      <c r="D11" s="8">
        <v>100000</v>
      </c>
      <c r="E11" s="27">
        <v>0.5</v>
      </c>
      <c r="F11" s="8">
        <v>50000</v>
      </c>
      <c r="G11" s="5" t="s">
        <v>240</v>
      </c>
      <c r="H11" s="5" t="s">
        <v>241</v>
      </c>
      <c r="I11" s="6" t="s">
        <v>242</v>
      </c>
      <c r="J11" s="6" t="s">
        <v>238</v>
      </c>
    </row>
    <row r="12" ht="32" customHeight="1" spans="1:10">
      <c r="A12" s="9" t="s">
        <v>243</v>
      </c>
      <c r="B12" s="9" t="s">
        <v>244</v>
      </c>
      <c r="C12" s="10" t="s">
        <v>245</v>
      </c>
      <c r="D12" s="12">
        <v>500000</v>
      </c>
      <c r="E12" s="26">
        <v>0.2</v>
      </c>
      <c r="F12" s="12">
        <v>100000</v>
      </c>
      <c r="G12" s="9" t="s">
        <v>141</v>
      </c>
      <c r="H12" s="9" t="s">
        <v>246</v>
      </c>
      <c r="I12" s="10" t="s">
        <v>247</v>
      </c>
      <c r="J12" s="10" t="s">
        <v>30</v>
      </c>
    </row>
    <row r="13" ht="32" customHeight="1" spans="1:10">
      <c r="A13" s="5" t="s">
        <v>248</v>
      </c>
      <c r="B13" s="5" t="s">
        <v>86</v>
      </c>
      <c r="C13" s="6" t="s">
        <v>245</v>
      </c>
      <c r="D13" s="8">
        <v>500000</v>
      </c>
      <c r="E13" s="27">
        <v>0.8</v>
      </c>
      <c r="F13" s="8">
        <v>400000</v>
      </c>
      <c r="G13" s="5" t="s">
        <v>111</v>
      </c>
      <c r="H13" s="5" t="s">
        <v>249</v>
      </c>
      <c r="I13" s="6" t="s">
        <v>247</v>
      </c>
      <c r="J13" s="6" t="s">
        <v>250</v>
      </c>
    </row>
    <row r="14" ht="32" customHeight="1" spans="1:10">
      <c r="A14" s="9" t="s">
        <v>251</v>
      </c>
      <c r="B14" s="9" t="s">
        <v>28</v>
      </c>
      <c r="C14" s="10" t="s">
        <v>245</v>
      </c>
      <c r="D14" s="12">
        <v>600000</v>
      </c>
      <c r="E14" s="26">
        <v>0.9</v>
      </c>
      <c r="F14" s="12">
        <v>540000</v>
      </c>
      <c r="G14" s="9" t="s">
        <v>108</v>
      </c>
      <c r="H14" s="9" t="s">
        <v>252</v>
      </c>
      <c r="I14" s="10" t="s">
        <v>253</v>
      </c>
      <c r="J14" s="10" t="s">
        <v>30</v>
      </c>
    </row>
    <row r="15" ht="32" customHeight="1" spans="1:10">
      <c r="A15" s="5" t="s">
        <v>254</v>
      </c>
      <c r="B15" s="5" t="s">
        <v>24</v>
      </c>
      <c r="C15" s="6" t="s">
        <v>245</v>
      </c>
      <c r="D15" s="8">
        <v>1082961</v>
      </c>
      <c r="E15" s="27">
        <v>0.9</v>
      </c>
      <c r="F15" s="8">
        <v>974665</v>
      </c>
      <c r="G15" s="5" t="s">
        <v>255</v>
      </c>
      <c r="H15" s="5" t="s">
        <v>256</v>
      </c>
      <c r="I15" s="6" t="s">
        <v>253</v>
      </c>
      <c r="J15" s="6" t="s">
        <v>100</v>
      </c>
    </row>
    <row r="16" ht="32" customHeight="1" spans="1:10">
      <c r="A16" s="9" t="s">
        <v>257</v>
      </c>
      <c r="B16" s="9" t="s">
        <v>28</v>
      </c>
      <c r="C16" s="10" t="s">
        <v>245</v>
      </c>
      <c r="D16" s="12">
        <v>350000</v>
      </c>
      <c r="E16" s="26">
        <v>0.9</v>
      </c>
      <c r="F16" s="12">
        <v>315000</v>
      </c>
      <c r="G16" s="9" t="s">
        <v>124</v>
      </c>
      <c r="H16" s="9" t="s">
        <v>258</v>
      </c>
      <c r="I16" s="10" t="s">
        <v>259</v>
      </c>
      <c r="J16" s="10" t="s">
        <v>30</v>
      </c>
    </row>
    <row r="17" ht="32" customHeight="1" spans="1:10">
      <c r="A17" s="5" t="s">
        <v>146</v>
      </c>
      <c r="B17" s="5" t="s">
        <v>260</v>
      </c>
      <c r="C17" s="6" t="s">
        <v>245</v>
      </c>
      <c r="D17" s="8">
        <v>48000</v>
      </c>
      <c r="E17" s="27">
        <v>1</v>
      </c>
      <c r="F17" s="8">
        <v>48000</v>
      </c>
      <c r="G17" s="5" t="s">
        <v>43</v>
      </c>
      <c r="H17" s="5" t="s">
        <v>261</v>
      </c>
      <c r="I17" s="6" t="s">
        <v>253</v>
      </c>
      <c r="J17" s="6" t="s">
        <v>147</v>
      </c>
    </row>
    <row r="18" ht="32" customHeight="1" spans="1:10">
      <c r="A18" s="9" t="s">
        <v>149</v>
      </c>
      <c r="B18" s="9" t="s">
        <v>262</v>
      </c>
      <c r="C18" s="10" t="s">
        <v>245</v>
      </c>
      <c r="D18" s="12">
        <v>375000</v>
      </c>
      <c r="E18" s="26">
        <v>0.5</v>
      </c>
      <c r="F18" s="12">
        <v>187500</v>
      </c>
      <c r="G18" s="9" t="s">
        <v>43</v>
      </c>
      <c r="H18" s="9" t="s">
        <v>263</v>
      </c>
      <c r="I18" s="10" t="s">
        <v>259</v>
      </c>
      <c r="J18" s="10" t="s">
        <v>186</v>
      </c>
    </row>
    <row r="19" ht="32" customHeight="1" spans="1:10">
      <c r="A19" s="5" t="s">
        <v>192</v>
      </c>
      <c r="B19" s="5" t="s">
        <v>193</v>
      </c>
      <c r="C19" s="6" t="s">
        <v>245</v>
      </c>
      <c r="D19" s="8">
        <v>400000</v>
      </c>
      <c r="E19" s="27">
        <v>0.6</v>
      </c>
      <c r="F19" s="8">
        <v>240000</v>
      </c>
      <c r="G19" s="5" t="s">
        <v>43</v>
      </c>
      <c r="H19" s="5" t="s">
        <v>264</v>
      </c>
      <c r="I19" s="6" t="s">
        <v>253</v>
      </c>
      <c r="J19" s="6" t="s">
        <v>53</v>
      </c>
    </row>
    <row r="20" ht="32" customHeight="1" spans="1:10">
      <c r="A20" s="9" t="s">
        <v>265</v>
      </c>
      <c r="B20" s="9" t="s">
        <v>194</v>
      </c>
      <c r="C20" s="10" t="s">
        <v>245</v>
      </c>
      <c r="D20" s="12">
        <v>1000000</v>
      </c>
      <c r="E20" s="26">
        <v>0.2</v>
      </c>
      <c r="F20" s="12">
        <v>200000</v>
      </c>
      <c r="G20" s="9" t="s">
        <v>43</v>
      </c>
      <c r="H20" s="9" t="s">
        <v>266</v>
      </c>
      <c r="I20" s="10" t="s">
        <v>253</v>
      </c>
      <c r="J20" s="10" t="s">
        <v>185</v>
      </c>
    </row>
  </sheetData>
  <mergeCells count="3">
    <mergeCell ref="A1:J1"/>
    <mergeCell ref="A2:J2"/>
    <mergeCell ref="A4:J4"/>
  </mergeCells>
  <conditionalFormatting sqref="E6:E20">
    <cfRule type="cellIs" dxfId="0" priority="1" operator="greaterThanOrEqual">
      <formula>0.8</formula>
    </cfRule>
    <cfRule type="cellIs" dxfId="1" priority="2" operator="between">
      <formula>0.5</formula>
      <formula>0.79</formula>
    </cfRule>
    <cfRule type="cellIs" dxfId="2" priority="3" operator="lessThan">
      <formula>0.5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showGridLines="0" tabSelected="1" topLeftCell="A22" workbookViewId="0">
      <selection activeCell="K40" sqref="K40"/>
    </sheetView>
  </sheetViews>
  <sheetFormatPr defaultColWidth="9" defaultRowHeight="16.8"/>
  <cols>
    <col min="1" max="1" width="24" customWidth="1"/>
    <col min="2" max="3" width="10" customWidth="1"/>
    <col min="4" max="4" width="12" customWidth="1"/>
    <col min="5" max="5" width="14" customWidth="1"/>
    <col min="6" max="6" width="13" customWidth="1"/>
    <col min="7" max="7" width="12" customWidth="1"/>
    <col min="8" max="8" width="16" customWidth="1"/>
    <col min="9" max="9" width="32" customWidth="1"/>
  </cols>
  <sheetData>
    <row r="1" ht="35" customHeight="1" spans="1:9">
      <c r="A1" s="1" t="s">
        <v>267</v>
      </c>
    </row>
    <row r="3" ht="22" customHeight="1" spans="1:9">
      <c r="A3" s="2" t="s">
        <v>268</v>
      </c>
    </row>
    <row r="4" ht="28" customHeight="1" spans="1:9">
      <c r="A4" s="3" t="s">
        <v>16</v>
      </c>
      <c r="B4" s="3" t="s">
        <v>76</v>
      </c>
      <c r="C4" s="3" t="s">
        <v>77</v>
      </c>
      <c r="D4" s="3" t="s">
        <v>78</v>
      </c>
      <c r="E4" s="4" t="s">
        <v>269</v>
      </c>
      <c r="F4" s="4" t="s">
        <v>270</v>
      </c>
      <c r="G4" s="3" t="s">
        <v>271</v>
      </c>
      <c r="H4" s="3" t="s">
        <v>15</v>
      </c>
      <c r="I4" s="3" t="s">
        <v>272</v>
      </c>
    </row>
    <row r="5" ht="20" customHeight="1" spans="1:9">
      <c r="A5" s="5" t="s">
        <v>24</v>
      </c>
      <c r="B5" s="6">
        <v>1866</v>
      </c>
      <c r="C5" s="6">
        <v>814</v>
      </c>
      <c r="D5" s="7">
        <v>0.4362</v>
      </c>
      <c r="E5" s="8">
        <v>1617039</v>
      </c>
      <c r="F5" s="8">
        <v>1987</v>
      </c>
      <c r="G5" s="6">
        <v>1052</v>
      </c>
      <c r="H5" s="5" t="s">
        <v>273</v>
      </c>
      <c r="I5" s="5" t="s">
        <v>274</v>
      </c>
    </row>
    <row r="6" ht="20" customHeight="1" spans="1:9">
      <c r="A6" s="9" t="s">
        <v>28</v>
      </c>
      <c r="B6" s="10">
        <v>909</v>
      </c>
      <c r="C6" s="10">
        <v>781</v>
      </c>
      <c r="D6" s="11">
        <v>0.8592</v>
      </c>
      <c r="E6" s="12">
        <v>1640934</v>
      </c>
      <c r="F6" s="12">
        <v>2101</v>
      </c>
      <c r="G6" s="10">
        <v>128</v>
      </c>
      <c r="H6" s="9" t="s">
        <v>275</v>
      </c>
      <c r="I6" s="9" t="s">
        <v>276</v>
      </c>
    </row>
    <row r="7" ht="20" customHeight="1" spans="1:9">
      <c r="A7" s="5" t="s">
        <v>31</v>
      </c>
      <c r="B7" s="6">
        <v>742</v>
      </c>
      <c r="C7" s="6">
        <v>577</v>
      </c>
      <c r="D7" s="7">
        <v>0.7776</v>
      </c>
      <c r="E7" s="8">
        <v>1307400</v>
      </c>
      <c r="F7" s="8">
        <v>2266</v>
      </c>
      <c r="G7" s="6">
        <v>165</v>
      </c>
      <c r="H7" s="5" t="s">
        <v>277</v>
      </c>
      <c r="I7" s="5" t="s">
        <v>278</v>
      </c>
    </row>
    <row r="8" ht="20" customHeight="1" spans="1:9">
      <c r="A8" s="9" t="s">
        <v>34</v>
      </c>
      <c r="B8" s="10">
        <v>172</v>
      </c>
      <c r="C8" s="10">
        <v>87</v>
      </c>
      <c r="D8" s="11">
        <v>0.5058</v>
      </c>
      <c r="E8" s="12">
        <v>210887</v>
      </c>
      <c r="F8" s="12">
        <v>2424</v>
      </c>
      <c r="G8" s="10">
        <v>85</v>
      </c>
      <c r="H8" s="9" t="s">
        <v>279</v>
      </c>
      <c r="I8" s="9" t="s">
        <v>280</v>
      </c>
    </row>
    <row r="9" ht="20" customHeight="1" spans="1:9">
      <c r="A9" s="5" t="s">
        <v>35</v>
      </c>
      <c r="B9" s="6">
        <v>109</v>
      </c>
      <c r="C9" s="6">
        <v>61</v>
      </c>
      <c r="D9" s="7">
        <v>0.5596</v>
      </c>
      <c r="E9" s="8">
        <v>148821</v>
      </c>
      <c r="F9" s="8">
        <v>2440</v>
      </c>
      <c r="G9" s="6">
        <v>48</v>
      </c>
      <c r="H9" s="5" t="s">
        <v>281</v>
      </c>
      <c r="I9" s="5" t="s">
        <v>282</v>
      </c>
    </row>
    <row r="10" ht="20" customHeight="1" spans="1:9">
      <c r="A10" s="9" t="s">
        <v>86</v>
      </c>
      <c r="B10" s="10">
        <v>0</v>
      </c>
      <c r="C10" s="10">
        <v>0</v>
      </c>
      <c r="D10" s="11">
        <v>0</v>
      </c>
      <c r="E10" s="12">
        <v>0</v>
      </c>
      <c r="F10" s="12">
        <v>1764</v>
      </c>
      <c r="G10" s="10">
        <v>0</v>
      </c>
      <c r="H10" s="9" t="s">
        <v>283</v>
      </c>
      <c r="I10" s="9" t="s">
        <v>284</v>
      </c>
    </row>
    <row r="11" ht="20" customHeight="1" spans="1:9">
      <c r="A11" s="5" t="s">
        <v>85</v>
      </c>
      <c r="B11" s="6">
        <v>69</v>
      </c>
      <c r="C11" s="6">
        <v>21</v>
      </c>
      <c r="D11" s="7">
        <v>0.3043</v>
      </c>
      <c r="E11" s="8">
        <v>25843</v>
      </c>
      <c r="F11" s="8">
        <v>1231</v>
      </c>
      <c r="G11" s="6">
        <v>48</v>
      </c>
      <c r="H11" s="5" t="s">
        <v>285</v>
      </c>
      <c r="I11" s="5" t="s">
        <v>286</v>
      </c>
    </row>
    <row r="12" ht="20" customHeight="1" spans="1:9">
      <c r="A12" s="13" t="s">
        <v>287</v>
      </c>
      <c r="B12" s="14">
        <v>3867</v>
      </c>
      <c r="C12" s="14">
        <v>2341</v>
      </c>
      <c r="D12" s="14">
        <v>0.6051</v>
      </c>
      <c r="E12" s="15">
        <v>4950924</v>
      </c>
      <c r="F12" s="15">
        <v>2114</v>
      </c>
      <c r="G12" s="14">
        <v>1526</v>
      </c>
      <c r="H12" s="13" t="s">
        <v>43</v>
      </c>
      <c r="I12" s="13" t="s">
        <v>43</v>
      </c>
    </row>
    <row r="13" ht="6" customHeight="1"/>
    <row r="14" ht="22" customHeight="1" spans="1:9">
      <c r="A14" s="2" t="s">
        <v>288</v>
      </c>
    </row>
    <row r="15" ht="28" customHeight="1" spans="1:9">
      <c r="A15" s="3" t="s">
        <v>16</v>
      </c>
      <c r="B15" s="3" t="s">
        <v>76</v>
      </c>
      <c r="C15" s="3" t="s">
        <v>77</v>
      </c>
      <c r="D15" s="3" t="s">
        <v>78</v>
      </c>
      <c r="E15" s="4" t="s">
        <v>269</v>
      </c>
      <c r="F15" s="4" t="s">
        <v>270</v>
      </c>
      <c r="G15" s="3" t="s">
        <v>271</v>
      </c>
      <c r="H15" s="3" t="s">
        <v>15</v>
      </c>
      <c r="I15" s="3" t="s">
        <v>272</v>
      </c>
    </row>
    <row r="16" ht="20" customHeight="1" spans="1:9">
      <c r="A16" s="16" t="s">
        <v>24</v>
      </c>
      <c r="B16" s="17">
        <v>660</v>
      </c>
      <c r="C16" s="17">
        <v>215</v>
      </c>
      <c r="D16" s="18">
        <v>0.326</v>
      </c>
      <c r="E16" s="19">
        <v>501229</v>
      </c>
      <c r="F16" s="19">
        <v>2331</v>
      </c>
      <c r="G16" s="17">
        <v>445</v>
      </c>
      <c r="H16" s="16" t="s">
        <v>289</v>
      </c>
      <c r="I16" s="16" t="s">
        <v>290</v>
      </c>
    </row>
    <row r="17" ht="20" customHeight="1" spans="1:9">
      <c r="A17" s="20" t="s">
        <v>28</v>
      </c>
      <c r="B17" s="21">
        <v>449</v>
      </c>
      <c r="C17" s="21">
        <v>242</v>
      </c>
      <c r="D17" s="22">
        <v>0.539</v>
      </c>
      <c r="E17" s="23">
        <v>613746</v>
      </c>
      <c r="F17" s="23">
        <v>2537</v>
      </c>
      <c r="G17" s="21">
        <v>207</v>
      </c>
      <c r="H17" s="20" t="s">
        <v>291</v>
      </c>
      <c r="I17" s="20" t="s">
        <v>292</v>
      </c>
    </row>
    <row r="18" ht="20" customHeight="1" spans="1:9">
      <c r="A18" s="16" t="s">
        <v>31</v>
      </c>
      <c r="B18" s="17">
        <v>280</v>
      </c>
      <c r="C18" s="17">
        <v>131</v>
      </c>
      <c r="D18" s="18">
        <v>0.468</v>
      </c>
      <c r="E18" s="19">
        <v>419530</v>
      </c>
      <c r="F18" s="19">
        <v>3203</v>
      </c>
      <c r="G18" s="17">
        <v>149</v>
      </c>
      <c r="H18" s="16" t="s">
        <v>293</v>
      </c>
      <c r="I18" s="16" t="s">
        <v>294</v>
      </c>
    </row>
    <row r="19" ht="20" customHeight="1" spans="1:9">
      <c r="A19" s="20" t="s">
        <v>34</v>
      </c>
      <c r="B19" s="21">
        <v>28</v>
      </c>
      <c r="C19" s="21">
        <v>10</v>
      </c>
      <c r="D19" s="22">
        <v>0.357</v>
      </c>
      <c r="E19" s="23">
        <v>57622</v>
      </c>
      <c r="F19" s="23">
        <v>5762</v>
      </c>
      <c r="G19" s="21">
        <v>18</v>
      </c>
      <c r="H19" s="20" t="s">
        <v>295</v>
      </c>
      <c r="I19" s="20" t="s">
        <v>296</v>
      </c>
    </row>
    <row r="20" ht="20" customHeight="1" spans="1:9">
      <c r="A20" s="16" t="s">
        <v>35</v>
      </c>
      <c r="B20" s="17">
        <v>53</v>
      </c>
      <c r="C20" s="17">
        <v>21</v>
      </c>
      <c r="D20" s="18">
        <v>0.396</v>
      </c>
      <c r="E20" s="19">
        <v>74900</v>
      </c>
      <c r="F20" s="19">
        <v>3567</v>
      </c>
      <c r="G20" s="17">
        <v>32</v>
      </c>
      <c r="H20" s="16" t="s">
        <v>297</v>
      </c>
      <c r="I20" s="16" t="s">
        <v>298</v>
      </c>
    </row>
    <row r="21" ht="20" customHeight="1" spans="1:9">
      <c r="A21" s="20" t="s">
        <v>85</v>
      </c>
      <c r="B21" s="21">
        <v>0</v>
      </c>
      <c r="C21" s="21">
        <v>1</v>
      </c>
      <c r="D21" s="22">
        <v>0</v>
      </c>
      <c r="E21" s="23">
        <v>475</v>
      </c>
      <c r="F21" s="23">
        <v>475</v>
      </c>
      <c r="G21" s="21">
        <v>0</v>
      </c>
      <c r="H21" s="20" t="s">
        <v>299</v>
      </c>
      <c r="I21" s="20" t="s">
        <v>300</v>
      </c>
    </row>
    <row r="22" ht="20" customHeight="1" spans="1:9">
      <c r="A22" s="13" t="s">
        <v>301</v>
      </c>
      <c r="B22" s="14">
        <v>1470</v>
      </c>
      <c r="C22" s="14">
        <v>620</v>
      </c>
      <c r="D22" s="14">
        <v>0.422</v>
      </c>
      <c r="E22" s="15">
        <v>1667502</v>
      </c>
      <c r="F22" s="15">
        <v>2690</v>
      </c>
      <c r="G22" s="14">
        <v>851</v>
      </c>
      <c r="H22" s="13" t="s">
        <v>43</v>
      </c>
      <c r="I22" s="13" t="s">
        <v>43</v>
      </c>
    </row>
    <row r="25" spans="1:9">
      <c r="A25" t="s">
        <v>16</v>
      </c>
      <c r="B25" t="s">
        <v>302</v>
      </c>
      <c r="C25" t="s">
        <v>303</v>
      </c>
    </row>
    <row r="26" spans="1:9">
      <c r="A26" t="s">
        <v>304</v>
      </c>
      <c r="B26">
        <v>1866</v>
      </c>
      <c r="C26">
        <v>814</v>
      </c>
    </row>
    <row r="27" spans="1:9">
      <c r="A27" t="s">
        <v>305</v>
      </c>
      <c r="B27">
        <v>909</v>
      </c>
      <c r="C27">
        <v>781</v>
      </c>
    </row>
    <row r="28" spans="1:9">
      <c r="A28" t="s">
        <v>306</v>
      </c>
      <c r="B28">
        <v>742</v>
      </c>
      <c r="C28">
        <v>577</v>
      </c>
    </row>
    <row r="29" spans="1:9">
      <c r="A29" t="s">
        <v>307</v>
      </c>
      <c r="B29">
        <v>172</v>
      </c>
      <c r="C29">
        <v>87</v>
      </c>
    </row>
    <row r="30" spans="1:9">
      <c r="A30" t="s">
        <v>308</v>
      </c>
      <c r="B30">
        <v>109</v>
      </c>
      <c r="C30">
        <v>61</v>
      </c>
    </row>
    <row r="31" spans="1:9">
      <c r="A31" t="s">
        <v>309</v>
      </c>
      <c r="B31">
        <v>69</v>
      </c>
      <c r="C31">
        <v>21</v>
      </c>
    </row>
  </sheetData>
  <mergeCells count="3">
    <mergeCell ref="A1:I1"/>
    <mergeCell ref="A3:I3"/>
    <mergeCell ref="A14:I14"/>
  </mergeCells>
  <conditionalFormatting sqref="D5:D11">
    <cfRule type="cellIs" dxfId="0" priority="1" operator="greaterThanOrEqual">
      <formula>0.75</formula>
    </cfRule>
    <cfRule type="cellIs" dxfId="1" priority="2" operator="between">
      <formula>0.4</formula>
      <formula>0.7499</formula>
    </cfRule>
    <cfRule type="cellIs" dxfId="2" priority="3" operator="lessThan">
      <formula>0.4</formula>
    </cfRule>
  </conditionalFormatting>
  <conditionalFormatting sqref="D16:D21">
    <cfRule type="cellIs" dxfId="0" priority="4" operator="greaterThanOrEqual">
      <formula>0.75</formula>
    </cfRule>
    <cfRule type="cellIs" dxfId="1" priority="5" operator="between">
      <formula>0.4</formula>
      <formula>0.7499</formula>
    </cfRule>
    <cfRule type="cellIs" dxfId="2" priority="6" operator="lessThan">
      <formula>0.4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Month-Wise Revenue</vt:lpstr>
      <vt:lpstr>Customer Revenue</vt:lpstr>
      <vt:lpstr>Pipeline Health</vt:lpstr>
      <vt:lpstr>Existing vs Prospect</vt:lpstr>
      <vt:lpstr>Key Actions</vt:lpstr>
      <vt:lpstr>Order Pipeline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Najmul Islam</cp:lastModifiedBy>
  <dcterms:created xsi:type="dcterms:W3CDTF">2026-05-14T22:51:00Z</dcterms:created>
  <dcterms:modified xsi:type="dcterms:W3CDTF">2026-05-14T23:51:10Z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9B96F401F927A4849612066A19020C0C_42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