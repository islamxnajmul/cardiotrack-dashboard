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40" windowHeight="11180" firstSheet="4" activeTab="4"/>
  </bookViews>
  <sheets>
    <sheet name="Overall Billing Data" sheetId="1" state="hidden" r:id="rId1"/>
    <sheet name="BIlling done Insurer Wise" sheetId="4" state="hidden" r:id="rId2"/>
    <sheet name="Apr 2026" sheetId="2" state="hidden" r:id="rId3"/>
    <sheet name="Sheet2" sheetId="3" state="hidden" r:id="rId4"/>
    <sheet name="Plan" sheetId="5" r:id="rId5"/>
    <sheet name="Incoming orders" sheetId="6" state="hidden" r:id="rId6"/>
    <sheet name="Closed Orders" sheetId="7" state="hidden" r:id="rId7"/>
  </sheets>
  <definedNames>
    <definedName name="_xlnm._FilterDatabase" localSheetId="0" hidden="1">'Overall Billing Data'!$A$1:$B$53</definedName>
    <definedName name="_xlnm._FilterDatabase" localSheetId="1" hidden="1">'BIlling done Insurer Wise'!$A$1:$C$333</definedName>
    <definedName name="_xlnm._FilterDatabase" localSheetId="4" hidden="1">Plan!$A$1:$F$25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<sst xmlns="http://schemas.openxmlformats.org/spreadsheetml/2006/main" count="2812" uniqueCount="212">
  <si>
    <t>Month&amp;Year of Order Closure Date</t>
  </si>
  <si>
    <t>Total Total Amount to be Billed</t>
  </si>
  <si>
    <t/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</si>
  <si>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</si>
  <si>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</si>
  <si>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</si>
  <si>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</si>
  <si>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</si>
  <si>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</si>
  <si>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</si>
  <si>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</si>
  <si>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</si>
  <si>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</si>
  <si>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</si>
  <si>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</si>
  <si>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</si>
  <si>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</si>
  <si>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</si>
  <si>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</si>
  <si>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</si>
  <si>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</si>
  <si>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</si>
  <si>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</si>
  <si>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</si>
  <si>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</si>
  <si>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</si>
  <si>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</si>
  <si>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</si>
  <si>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</si>
  <si>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</si>
  <si>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</si>
  <si>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</si>
  <si>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</si>
  <si>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</si>
  <si>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</si>
  <si>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</si>
  <si>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</si>
  <si>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</si>
  <si>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</si>
  <si>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</si>
  <si>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</si>
  <si>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</si>
  <si>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</si>
  <si>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</si>
  <si>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</si>
  <si>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</si>
  <si>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</si>
  <si>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</si>
  <si>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</si>
  <si>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</si>
  <si>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</si>
  <si>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</si>
  <si>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</si>
  <si>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</si>
  <si>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Till 10th of May</t>
  </si>
  <si>
    <t>Insurer Name</t>
  </si>
  <si>
    <t>ICICI Lombard</t>
  </si>
  <si>
    <t>HDFC Life</t>
  </si>
  <si>
    <t>Aditya Birla Sun Life Insurance</t>
  </si>
  <si>
    <t>Bajaj Allianz Life Insurance Company</t>
  </si>
  <si>
    <t>Cardiotrack Home Services</t>
  </si>
  <si>
    <t>Canara HSBC Life Insurance</t>
  </si>
  <si>
    <t>Star Union Daichi Life Insurance</t>
  </si>
  <si>
    <t>Pramerica Life Insurance</t>
  </si>
  <si>
    <t>Pramerica Life Insurance VMER</t>
  </si>
  <si>
    <t>Ageas Federal Life Insurance</t>
  </si>
  <si>
    <t>TATA AIG Health Insurance Company Ltd.</t>
  </si>
  <si>
    <t>Cardiotrack Corporate Services</t>
  </si>
  <si>
    <t>TAIG Health Insurance Company Ltd.</t>
  </si>
  <si>
    <t>Bajaj Life Insurance Company</t>
  </si>
  <si>
    <t>Till 12 May</t>
  </si>
  <si>
    <t>Closed cases - Apr 2026</t>
  </si>
  <si>
    <t>Amount Billed in Apr 2026</t>
  </si>
  <si>
    <t>Per order average value - 2026</t>
  </si>
  <si>
    <t>Incoming - Apr 2026</t>
  </si>
  <si>
    <t>Conversion - Apr 2026</t>
  </si>
  <si>
    <t>Q2 FY2026 Revenue Target (Apr–Jun 2026)</t>
  </si>
  <si>
    <t>In Lakhs</t>
  </si>
  <si>
    <t>Month</t>
  </si>
  <si>
    <t>2025 Actual</t>
  </si>
  <si>
    <t>2026 Target (2×)</t>
  </si>
  <si>
    <t>Status</t>
  </si>
  <si>
    <t>₹38.4L</t>
  </si>
  <si>
    <t>₹76.8L</t>
  </si>
  <si>
    <t>₹49.5L billed — ₹27.3L short</t>
  </si>
  <si>
    <t>₹33.9L</t>
  </si>
  <si>
    <t>₹67.9L</t>
  </si>
  <si>
    <t>₹12.6L billed (10 days) — ₹55.4L remaining</t>
  </si>
  <si>
    <t>₹33.6L</t>
  </si>
  <si>
    <t>₹67.3L</t>
  </si>
  <si>
    <t>Not started</t>
  </si>
  <si>
    <t>Q2 Total</t>
  </si>
  <si>
    <t>₹1.06Cr</t>
  </si>
  <si>
    <t>₹2.12Cr</t>
  </si>
  <si>
    <t>April Revenue</t>
  </si>
  <si>
    <t>Revenue Target</t>
  </si>
  <si>
    <t>Revenue reached as on</t>
  </si>
  <si>
    <t>Expected Target</t>
  </si>
  <si>
    <t xml:space="preserve">Target </t>
  </si>
  <si>
    <t>Additional order closure</t>
  </si>
  <si>
    <t>Additional Incoming @ 65% conversion</t>
  </si>
  <si>
    <t>Canara HSBC</t>
  </si>
  <si>
    <t>Bajaj Interpretaion</t>
  </si>
  <si>
    <t>Tele MER</t>
  </si>
  <si>
    <t>Initiative</t>
  </si>
  <si>
    <t>Potential ₹ this Quarter</t>
  </si>
  <si>
    <t xml:space="preserve">Date to start </t>
  </si>
  <si>
    <t>AI ECG Interpretation</t>
  </si>
  <si>
    <t>Canara HSBC unblock (by May 20)</t>
  </si>
  <si>
    <t>₹15–17L</t>
  </si>
  <si>
    <t>Unblock</t>
  </si>
  <si>
    <t>Bajaj allocation 30→56/day (Non Inhouse and ECG interpretation)</t>
  </si>
  <si>
    <t>₹20–23L</t>
  </si>
  <si>
    <t>Meet Anil</t>
  </si>
  <si>
    <t>Tata AIG restart (June)</t>
  </si>
  <si>
    <t>₹5–6L</t>
  </si>
  <si>
    <t>Meet Siddeshwar</t>
  </si>
  <si>
    <t>ICICI pincode expansion</t>
  </si>
  <si>
    <t>₹8–10L</t>
  </si>
  <si>
    <t>Meet Santosh</t>
  </si>
  <si>
    <t>SUD Life additional business</t>
  </si>
  <si>
    <t>George</t>
  </si>
  <si>
    <t>Ageas volume improvement</t>
  </si>
  <si>
    <t>₹4–5L</t>
  </si>
  <si>
    <t>Ambika and Puneet</t>
  </si>
  <si>
    <t>Total incremental potential</t>
  </si>
  <si>
    <t>₹57–67L</t>
  </si>
  <si>
    <t>Additional business</t>
  </si>
  <si>
    <t>Bajaj allocation 30→56/day</t>
  </si>
  <si>
    <t>So far billed todate</t>
  </si>
  <si>
    <t>Delta 50 L</t>
  </si>
  <si>
    <t>Probability</t>
  </si>
  <si>
    <r>
      <rPr>
        <b/>
        <sz val="10"/>
        <color theme="1"/>
        <rFont val="Arial"/>
        <charset val="134"/>
      </rPr>
      <t xml:space="preserve">Revenue based on probability </t>
    </r>
    <r>
      <rPr>
        <b/>
        <sz val="10"/>
        <color theme="1"/>
        <rFont val="Times New Roman"/>
        <charset val="134"/>
      </rPr>
      <t>₹</t>
    </r>
  </si>
  <si>
    <t>Additional Closed orders</t>
  </si>
  <si>
    <t>Additional incoming orders</t>
  </si>
  <si>
    <t>Key Action</t>
  </si>
  <si>
    <t>Aditya Birla Sun Life Insurance - May</t>
  </si>
  <si>
    <t>Ageas Federal Life Insurance - May</t>
  </si>
  <si>
    <t>Meet Anurag</t>
  </si>
  <si>
    <t>Bajaj Life Insurance Company - May</t>
  </si>
  <si>
    <t>Call with Aditya and Meet Anil</t>
  </si>
  <si>
    <t>Canara HSBC - May</t>
  </si>
  <si>
    <t>Unblock the API. Sumit is the key</t>
  </si>
  <si>
    <t>ICICI Lombard - May</t>
  </si>
  <si>
    <t>Meet Santosh and Rajani</t>
  </si>
  <si>
    <t>Pramerica Life Insurance - May</t>
  </si>
  <si>
    <t>Call with Prem</t>
  </si>
  <si>
    <t>Star Union Daichi Life Insurance - May</t>
  </si>
  <si>
    <t>No escalations/rejections at order level</t>
  </si>
  <si>
    <t>Bajaj - AI ECG Dev - May</t>
  </si>
  <si>
    <t>Press release</t>
  </si>
  <si>
    <t>Aditya Birla Sun Life Insurance - June</t>
  </si>
  <si>
    <t>Ageas Federal Life Insurance - June</t>
  </si>
  <si>
    <t>Bajaj Life Insurance Company - June</t>
  </si>
  <si>
    <t>Canara HSBC - June</t>
  </si>
  <si>
    <t>ICICI Lombard - June</t>
  </si>
  <si>
    <t>Pramerica Life Insurance - June</t>
  </si>
  <si>
    <t>Star Union Daichi Life Insurance - June</t>
  </si>
  <si>
    <t>TATA AIA - June</t>
  </si>
  <si>
    <t>TATA AIA - AI ECG Dev - June</t>
  </si>
  <si>
    <t>TATA AIA - AI ECG - June</t>
  </si>
  <si>
    <t>Bajaj - AI ECG - June</t>
  </si>
  <si>
    <t>Vortex ECG - June</t>
  </si>
  <si>
    <t>Thyrocare ECG - June</t>
  </si>
  <si>
    <t>Lupin ECG - June</t>
  </si>
  <si>
    <t>Corporate camp</t>
  </si>
  <si>
    <t>Broker revenue</t>
  </si>
  <si>
    <t>Total May'26</t>
  </si>
  <si>
    <t>Total June'26</t>
  </si>
  <si>
    <t>Total</t>
  </si>
  <si>
    <t>Target for Apr, May and June</t>
  </si>
  <si>
    <t>Existing Customers</t>
  </si>
  <si>
    <t>Pipeline (if Probabibility is marked &gt;90%)</t>
  </si>
  <si>
    <t>Quarter Revenue Achieved</t>
  </si>
  <si>
    <t>Quarter Target  % Achieved</t>
  </si>
  <si>
    <t>April 2026 Month</t>
  </si>
  <si>
    <t>Incoming cases</t>
  </si>
  <si>
    <t>Closed cases</t>
  </si>
  <si>
    <t>Conversion</t>
  </si>
  <si>
    <t>Avg Order value</t>
  </si>
  <si>
    <r>
      <rPr>
        <b/>
        <sz val="10"/>
        <color theme="1"/>
        <rFont val="Arial"/>
        <charset val="134"/>
      </rPr>
      <t xml:space="preserve">Revenue </t>
    </r>
    <r>
      <rPr>
        <b/>
        <sz val="10"/>
        <color theme="1"/>
        <rFont val="Times New Roman"/>
        <charset val="134"/>
      </rPr>
      <t>₹</t>
    </r>
  </si>
  <si>
    <t>May 2026 Month</t>
  </si>
  <si>
    <t>Total Incoming orders</t>
  </si>
  <si>
    <t>Total closed orders</t>
  </si>
  <si>
    <r>
      <rPr>
        <b/>
        <sz val="10"/>
        <color theme="1"/>
        <rFont val="Arial"/>
        <charset val="134"/>
      </rPr>
      <t xml:space="preserve">Total Revenue </t>
    </r>
    <r>
      <rPr>
        <b/>
        <sz val="10"/>
        <color theme="1"/>
        <rFont val="Times New Roman"/>
        <charset val="134"/>
      </rPr>
      <t>₹</t>
    </r>
  </si>
  <si>
    <r>
      <rPr>
        <b/>
        <sz val="10"/>
        <color theme="1"/>
        <rFont val="Arial"/>
        <charset val="134"/>
      </rPr>
      <t xml:space="preserve">Revenue achieved </t>
    </r>
    <r>
      <rPr>
        <b/>
        <sz val="10"/>
        <color theme="1"/>
        <rFont val="Times New Roman"/>
        <charset val="134"/>
      </rPr>
      <t>₹</t>
    </r>
  </si>
  <si>
    <t>% Achieved</t>
  </si>
  <si>
    <t>June 2026 Month</t>
  </si>
  <si>
    <t>Month&amp;Year of Order Entry Date</t>
  </si>
  <si>
    <t>Insurer Name Plain</t>
  </si>
  <si>
    <t>Order Entry Date Count</t>
  </si>
  <si>
    <t>A8228Mph f7Rq7v0X</t>
  </si>
  <si>
    <t>Health Assure Tata AIA</t>
  </si>
  <si>
    <t>MD India Max Life</t>
  </si>
  <si>
    <t>MD India Tata AIA</t>
  </si>
  <si>
    <t>HDFC Life Purge</t>
  </si>
  <si>
    <t>Test Cardiotrack</t>
  </si>
  <si>
    <t>MD India LIC</t>
  </si>
  <si>
    <t>TATA AIA Life Insurance Company</t>
  </si>
  <si>
    <t>TATA AIA Life Insurance Company Purge</t>
  </si>
  <si>
    <t>Shriram Life Insurance</t>
  </si>
  <si>
    <t>ICICI LOMBARD</t>
  </si>
  <si>
    <t>nA5N724T IpSA357U</t>
  </si>
  <si>
    <t>5MyHaB07 3VrA426d</t>
  </si>
  <si>
    <t>India First Life Insurance</t>
  </si>
  <si>
    <t>M7P4hW7Z Z9xz93cY</t>
  </si>
  <si>
    <t>Acko Life Insurance</t>
  </si>
  <si>
    <t>Acko Health - Insurance Limited</t>
  </si>
  <si>
    <t>SBI LIfe Insurance Company</t>
  </si>
  <si>
    <t>Acko Health -  Insurance Limited</t>
  </si>
  <si>
    <t>3515342000002156009</t>
  </si>
  <si>
    <t>Test - Cardiotrack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</si>
</sst>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 "/>
    <numFmt numFmtId="177" formatCode="0.0_ "/>
    <numFmt numFmtId="178" formatCode="dd\-mmm"/>
    <numFmt numFmtId="179" formatCode="mmm\-yy"/>
    <numFmt numFmtId="180" formatCode="0.00_ "/>
    <numFmt numFmtId="181" formatCode="&quot;INR&quot;\ #,##0.00"/>
  </numFmts>
  <fonts count="27"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indexed="8"/>
      <name val="Calibri"/>
      <charset val="134"/>
      <scheme val="minor"/>
    </font>
    <font>
      <sz val="10"/>
      <color theme="1" tint="0.05"/>
      <name val="Arial"/>
      <charset val="1"/>
    </font>
    <font>
      <sz val="11"/>
      <color indexed="8"/>
      <name val="Calibri"/>
      <charset val="134"/>
      <scheme val="minor"/>
    </font>
    <font>
      <sz val="10"/>
      <color rgb="FF000000"/>
      <name val="Arial"/>
      <charset val="1"/>
    </font>
    <font>
      <b/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Font="1" applyFill="1" applyAlignment="1"/>
    <xf numFmtId="1" fontId="0" fillId="0" borderId="0" xfId="0" applyNumberFormat="1" applyFont="1" applyFill="1" applyAlignment="1"/>
    <xf numFmtId="0" fontId="1" fillId="0" borderId="0" xfId="0" applyFont="1"/>
    <xf numFmtId="0" fontId="1" fillId="0" borderId="1" xfId="0" applyFont="1" applyBorder="1"/>
    <xf numFmtId="0" fontId="0" fillId="2" borderId="1" xfId="0" applyFont="1" applyFill="1" applyBorder="1" applyAlignment="1"/>
    <xf numFmtId="0" fontId="0" fillId="2" borderId="2" xfId="0" applyFill="1" applyBorder="1"/>
    <xf numFmtId="9" fontId="0" fillId="2" borderId="1" xfId="0" applyNumberFormat="1" applyFont="1" applyFill="1" applyBorder="1"/>
    <xf numFmtId="176" fontId="0" fillId="2" borderId="1" xfId="0" applyNumberFormat="1" applyFill="1" applyBorder="1"/>
    <xf numFmtId="176" fontId="0" fillId="2" borderId="3" xfId="0" applyNumberFormat="1" applyFill="1" applyBorder="1"/>
    <xf numFmtId="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9" fontId="0" fillId="0" borderId="1" xfId="0" applyNumberFormat="1" applyBorder="1"/>
    <xf numFmtId="176" fontId="0" fillId="0" borderId="1" xfId="0" applyNumberFormat="1" applyBorder="1"/>
    <xf numFmtId="0" fontId="0" fillId="0" borderId="1" xfId="0" applyFont="1" applyBorder="1"/>
    <xf numFmtId="177" fontId="1" fillId="0" borderId="0" xfId="0" applyNumberFormat="1" applyFont="1" applyBorder="1"/>
    <xf numFmtId="0" fontId="0" fillId="0" borderId="0" xfId="0" applyBorder="1"/>
    <xf numFmtId="176" fontId="1" fillId="0" borderId="0" xfId="0" applyNumberFormat="1" applyFont="1"/>
    <xf numFmtId="9" fontId="1" fillId="0" borderId="0" xfId="3" applyFont="1"/>
    <xf numFmtId="0" fontId="2" fillId="0" borderId="1" xfId="0" applyFont="1" applyFill="1" applyBorder="1" applyAlignment="1">
      <alignment vertical="center"/>
    </xf>
    <xf numFmtId="0" fontId="1" fillId="0" borderId="2" xfId="0" applyNumberFormat="1" applyFont="1" applyBorder="1"/>
    <xf numFmtId="0" fontId="1" fillId="0" borderId="1" xfId="0" applyNumberFormat="1" applyFont="1" applyBorder="1"/>
    <xf numFmtId="176" fontId="0" fillId="0" borderId="0" xfId="0" applyNumberFormat="1"/>
    <xf numFmtId="0" fontId="0" fillId="0" borderId="1" xfId="0" applyFont="1" applyFill="1" applyBorder="1" applyAlignment="1"/>
    <xf numFmtId="9" fontId="3" fillId="0" borderId="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9" fontId="5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9" fontId="5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9" fontId="3" fillId="0" borderId="1" xfId="0" applyNumberFormat="1" applyFont="1" applyFill="1" applyBorder="1" applyAlignment="1">
      <alignment horizontal="center" vertical="center" wrapText="1"/>
    </xf>
    <xf numFmtId="9" fontId="0" fillId="0" borderId="1" xfId="3" applyBorder="1"/>
    <xf numFmtId="176" fontId="0" fillId="2" borderId="0" xfId="0" applyNumberFormat="1" applyFill="1"/>
    <xf numFmtId="0" fontId="0" fillId="2" borderId="0" xfId="0" applyFill="1"/>
    <xf numFmtId="176" fontId="0" fillId="2" borderId="2" xfId="0" applyNumberFormat="1" applyFill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78" fontId="0" fillId="0" borderId="0" xfId="0" applyNumberFormat="1"/>
    <xf numFmtId="0" fontId="1" fillId="0" borderId="1" xfId="0" applyFont="1" applyBorder="1" applyAlignment="1">
      <alignment horizontal="center" wrapText="1"/>
    </xf>
    <xf numFmtId="17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80" fontId="6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176" fontId="4" fillId="0" borderId="1" xfId="0" applyNumberFormat="1" applyFont="1" applyFill="1" applyBorder="1" applyAlignment="1">
      <alignment vertical="center"/>
    </xf>
    <xf numFmtId="9" fontId="4" fillId="0" borderId="1" xfId="3" applyFont="1" applyBorder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0" fillId="0" borderId="5" xfId="0" applyFont="1" applyFill="1" applyBorder="1" applyAlignment="1"/>
    <xf numFmtId="9" fontId="4" fillId="0" borderId="0" xfId="3" applyFont="1" applyAlignment="1">
      <alignment vertical="center"/>
    </xf>
    <xf numFmtId="179" fontId="0" fillId="0" borderId="1" xfId="0" applyNumberFormat="1" applyBorder="1"/>
    <xf numFmtId="58" fontId="1" fillId="0" borderId="1" xfId="0" applyNumberFormat="1" applyFont="1" applyBorder="1"/>
    <xf numFmtId="177" fontId="1" fillId="0" borderId="1" xfId="0" applyNumberFormat="1" applyFont="1" applyBorder="1"/>
    <xf numFmtId="179" fontId="0" fillId="0" borderId="0" xfId="0" applyNumberFormat="1"/>
    <xf numFmtId="181" fontId="0" fillId="0" borderId="0" xfId="0" applyNumberFormat="1" applyFont="1" applyFill="1" applyAlignment="1"/>
    <xf numFmtId="181" fontId="0" fillId="0" borderId="0" xfId="0" applyNumberFormat="1"/>
    <xf numFmtId="181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opLeftCell="A46" workbookViewId="0">
      <selection activeCell="B52" sqref="B52"/>
    </sheetView>
  </sheetViews>
  <sheetFormatPr defaultColWidth="9" defaultRowHeight="14.4" outlineLevelCol="2"/>
  <cols>
    <col min="1" max="1" width="30.5714285714286" customWidth="1"/>
    <col min="2" max="2" width="27.2857142857143" customWidth="1"/>
    <col min="3" max="3" width="14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57">
        <v>38987</v>
      </c>
    </row>
    <row r="3" spans="1:2">
      <c r="A3" t="s">
        <v>3</v>
      </c>
      <c r="B3" s="57">
        <v>3195</v>
      </c>
    </row>
    <row r="4" spans="1:2">
      <c r="A4" t="s">
        <v>4</v>
      </c>
      <c r="B4" s="57">
        <v>1075282.8</v>
      </c>
    </row>
    <row r="5" spans="1:2">
      <c r="A5" t="s">
        <v>5</v>
      </c>
      <c r="B5" s="57">
        <v>1750040.4</v>
      </c>
    </row>
    <row r="6" spans="1:2">
      <c r="A6" t="s">
        <v>6</v>
      </c>
      <c r="B6" s="57">
        <v>1759558.6</v>
      </c>
    </row>
    <row r="7" spans="1:2">
      <c r="A7" t="s">
        <v>7</v>
      </c>
      <c r="B7" s="57">
        <v>1530494</v>
      </c>
    </row>
    <row r="8" spans="1:2">
      <c r="A8" t="s">
        <v>8</v>
      </c>
      <c r="B8" s="57">
        <v>1169226</v>
      </c>
    </row>
    <row r="9" spans="1:2">
      <c r="A9" t="s">
        <v>9</v>
      </c>
      <c r="B9" s="57">
        <v>1185697.87</v>
      </c>
    </row>
    <row r="10" spans="1:2">
      <c r="A10" t="s">
        <v>10</v>
      </c>
      <c r="B10" s="57">
        <v>1162931.5</v>
      </c>
    </row>
    <row r="11" spans="1:2">
      <c r="A11" t="s">
        <v>11</v>
      </c>
      <c r="B11" s="57">
        <v>1309500.3</v>
      </c>
    </row>
    <row r="12" spans="1:2">
      <c r="A12" t="s">
        <v>12</v>
      </c>
      <c r="B12" s="57">
        <v>1728533.34</v>
      </c>
    </row>
    <row r="13" spans="1:2">
      <c r="A13" t="s">
        <v>13</v>
      </c>
      <c r="B13" s="57">
        <v>1611642.54</v>
      </c>
    </row>
    <row r="14" spans="1:2">
      <c r="A14" t="s">
        <v>14</v>
      </c>
      <c r="B14" s="57">
        <v>1106695.76</v>
      </c>
    </row>
    <row r="15" spans="1:2">
      <c r="A15" t="s">
        <v>15</v>
      </c>
      <c r="B15" s="57">
        <v>1800794.85</v>
      </c>
    </row>
    <row r="16" spans="1:2">
      <c r="A16" t="s">
        <v>16</v>
      </c>
      <c r="B16" s="57">
        <v>2221383.09</v>
      </c>
    </row>
    <row r="17" spans="1:2">
      <c r="A17" t="s">
        <v>17</v>
      </c>
      <c r="B17" s="57">
        <v>2550017.3</v>
      </c>
    </row>
    <row r="18" spans="1:2">
      <c r="A18" t="s">
        <v>18</v>
      </c>
      <c r="B18" s="57">
        <v>2793729.29</v>
      </c>
    </row>
    <row r="19" spans="1:2">
      <c r="A19" t="s">
        <v>19</v>
      </c>
      <c r="B19" s="57">
        <v>4069190.39999999</v>
      </c>
    </row>
    <row r="20" spans="1:2">
      <c r="A20" t="s">
        <v>20</v>
      </c>
      <c r="B20" s="57">
        <v>4490331.04</v>
      </c>
    </row>
    <row r="21" spans="1:2">
      <c r="A21" t="s">
        <v>21</v>
      </c>
      <c r="B21" s="57">
        <v>4915662.4</v>
      </c>
    </row>
    <row r="22" spans="1:2">
      <c r="A22" t="s">
        <v>22</v>
      </c>
      <c r="B22" s="57">
        <v>4206016.98</v>
      </c>
    </row>
    <row r="23" spans="1:2">
      <c r="A23" t="s">
        <v>23</v>
      </c>
      <c r="B23" s="57">
        <v>3930545</v>
      </c>
    </row>
    <row r="24" spans="1:2">
      <c r="A24" t="s">
        <v>24</v>
      </c>
      <c r="B24" s="57">
        <v>3501795</v>
      </c>
    </row>
    <row r="25" spans="1:2">
      <c r="A25" t="s">
        <v>25</v>
      </c>
      <c r="B25" s="57">
        <v>4539086.88</v>
      </c>
    </row>
    <row r="26" spans="1:2">
      <c r="A26" t="s">
        <v>26</v>
      </c>
      <c r="B26" s="57">
        <v>5481224</v>
      </c>
    </row>
    <row r="27" spans="1:2">
      <c r="A27" t="s">
        <v>27</v>
      </c>
      <c r="B27" s="57">
        <v>3949003.05</v>
      </c>
    </row>
    <row r="28" spans="1:2">
      <c r="A28" t="s">
        <v>28</v>
      </c>
      <c r="B28" s="57">
        <v>2888519</v>
      </c>
    </row>
    <row r="29" spans="1:2">
      <c r="A29" t="s">
        <v>29</v>
      </c>
      <c r="B29" s="57">
        <v>3155397.2</v>
      </c>
    </row>
    <row r="30" spans="1:2">
      <c r="A30" t="s">
        <v>30</v>
      </c>
      <c r="B30" s="57">
        <v>3550136.58</v>
      </c>
    </row>
    <row r="31" spans="1:2">
      <c r="A31" t="s">
        <v>31</v>
      </c>
      <c r="B31" s="57">
        <v>4151456.43</v>
      </c>
    </row>
    <row r="32" spans="1:2">
      <c r="A32" t="s">
        <v>32</v>
      </c>
      <c r="B32" s="57">
        <v>3982306</v>
      </c>
    </row>
    <row r="33" spans="1:3">
      <c r="A33" t="s">
        <v>33</v>
      </c>
      <c r="B33" s="57">
        <v>3924151.1</v>
      </c>
    </row>
    <row r="34" spans="1:3">
      <c r="A34" t="s">
        <v>34</v>
      </c>
      <c r="B34" s="57">
        <v>3110847</v>
      </c>
    </row>
    <row r="35" spans="1:3">
      <c r="A35" t="s">
        <v>35</v>
      </c>
      <c r="B35" s="57">
        <v>4462704</v>
      </c>
    </row>
    <row r="36" spans="1:3">
      <c r="A36" t="s">
        <v>36</v>
      </c>
      <c r="B36" s="57">
        <v>5343976</v>
      </c>
    </row>
    <row r="37" spans="1:3">
      <c r="A37" t="s">
        <v>37</v>
      </c>
      <c r="B37" s="57">
        <v>5298155</v>
      </c>
    </row>
    <row r="38" spans="1:3">
      <c r="A38" t="s">
        <v>38</v>
      </c>
      <c r="B38" s="57">
        <v>5875967</v>
      </c>
    </row>
    <row r="39" spans="1:3">
      <c r="A39" t="s">
        <v>39</v>
      </c>
      <c r="B39" s="57">
        <v>6866300</v>
      </c>
    </row>
    <row r="40" spans="1:3">
      <c r="A40" t="s">
        <v>40</v>
      </c>
      <c r="B40" s="58">
        <v>3841302</v>
      </c>
      <c r="C40">
        <f t="shared" ref="C40:C42" si="0">B40*2</f>
        <v>7682604</v>
      </c>
    </row>
    <row r="41" spans="1:3">
      <c r="A41" t="s">
        <v>41</v>
      </c>
      <c r="B41" s="58">
        <v>3394896</v>
      </c>
      <c r="C41">
        <f t="shared" si="0"/>
        <v>6789792</v>
      </c>
    </row>
    <row r="42" spans="1:3">
      <c r="A42" t="s">
        <v>42</v>
      </c>
      <c r="B42" s="58">
        <v>3364570</v>
      </c>
      <c r="C42">
        <f t="shared" si="0"/>
        <v>6729140</v>
      </c>
    </row>
    <row r="43" spans="1:3">
      <c r="A43" t="s">
        <v>43</v>
      </c>
      <c r="B43" s="57">
        <v>4674553</v>
      </c>
    </row>
    <row r="44" spans="1:3">
      <c r="A44" t="s">
        <v>44</v>
      </c>
      <c r="B44" s="57">
        <v>5235077</v>
      </c>
    </row>
    <row r="45" spans="1:3">
      <c r="A45" t="s">
        <v>45</v>
      </c>
      <c r="B45" s="57">
        <v>4933024.88</v>
      </c>
    </row>
    <row r="46" spans="1:3">
      <c r="A46" t="s">
        <v>46</v>
      </c>
      <c r="B46" s="57">
        <v>4203597.4</v>
      </c>
    </row>
    <row r="47" spans="1:3">
      <c r="A47" t="s">
        <v>47</v>
      </c>
      <c r="B47" s="57">
        <v>5302182</v>
      </c>
    </row>
    <row r="48" spans="1:3">
      <c r="A48" t="s">
        <v>48</v>
      </c>
      <c r="B48" s="57">
        <v>6331598</v>
      </c>
    </row>
    <row r="49" spans="1:3">
      <c r="A49" t="s">
        <v>49</v>
      </c>
      <c r="B49" s="57">
        <v>5995662.5</v>
      </c>
    </row>
    <row r="50" spans="1:3">
      <c r="A50" t="s">
        <v>50</v>
      </c>
      <c r="B50" s="57">
        <v>5880660.5</v>
      </c>
    </row>
    <row r="51" spans="1:3">
      <c r="A51" t="s">
        <v>51</v>
      </c>
      <c r="B51" s="57">
        <v>6494808</v>
      </c>
    </row>
    <row r="52" spans="1:3">
      <c r="A52" t="s">
        <v>52</v>
      </c>
      <c r="B52" s="57">
        <v>4952222.03</v>
      </c>
    </row>
    <row r="53" spans="1:3">
      <c r="A53" t="s">
        <v>53</v>
      </c>
      <c r="B53" s="57">
        <v>1255000</v>
      </c>
      <c r="C53" t="s">
        <v>54</v>
      </c>
    </row>
  </sheetData>
  <autoFilter xmlns:etc="http://www.wps.cn/officeDocument/2017/etCustomData" ref="A1:B5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33"/>
  <sheetViews>
    <sheetView topLeftCell="A212" workbookViewId="0">
      <selection activeCell="F296" sqref="F296"/>
    </sheetView>
  </sheetViews>
  <sheetFormatPr defaultColWidth="9.14285714285714" defaultRowHeight="14.4" outlineLevelCol="5"/>
  <cols>
    <col min="1" max="1" width="28.2142857142857" customWidth="1"/>
    <col min="6" max="6" width="12.7857142857143"/>
  </cols>
  <sheetData>
    <row r="1" spans="1:3">
      <c r="A1" s="1" t="s">
        <v>1</v>
      </c>
      <c r="B1" s="1" t="s">
        <v>0</v>
      </c>
      <c r="C1" s="1" t="s">
        <v>55</v>
      </c>
    </row>
    <row r="2" hidden="1" spans="1:3">
      <c r="A2" s="56">
        <v>36631</v>
      </c>
      <c r="B2" s="1" t="s">
        <v>2</v>
      </c>
      <c r="C2" s="1" t="s">
        <v>56</v>
      </c>
    </row>
    <row r="3" hidden="1" spans="1:3">
      <c r="A3" s="56">
        <v>3195</v>
      </c>
      <c r="B3" s="1" t="s">
        <v>3</v>
      </c>
      <c r="C3" s="1" t="s">
        <v>57</v>
      </c>
    </row>
    <row r="4" hidden="1" spans="1:3">
      <c r="A4" s="56">
        <v>21565</v>
      </c>
      <c r="B4" s="1" t="s">
        <v>4</v>
      </c>
      <c r="C4" s="1" t="s">
        <v>57</v>
      </c>
    </row>
    <row r="5" hidden="1" spans="1:3">
      <c r="A5" s="56">
        <v>649574</v>
      </c>
      <c r="B5" s="1" t="s">
        <v>4</v>
      </c>
      <c r="C5" s="1" t="s">
        <v>56</v>
      </c>
    </row>
    <row r="6" hidden="1" spans="1:3">
      <c r="A6" s="56">
        <v>7150</v>
      </c>
      <c r="B6" s="1" t="s">
        <v>5</v>
      </c>
      <c r="C6" s="1" t="s">
        <v>57</v>
      </c>
    </row>
    <row r="7" hidden="1" spans="1:3">
      <c r="A7" s="56">
        <v>1229288</v>
      </c>
      <c r="B7" s="1" t="s">
        <v>5</v>
      </c>
      <c r="C7" s="1" t="s">
        <v>56</v>
      </c>
    </row>
    <row r="8" hidden="1" spans="1:3">
      <c r="A8" s="56">
        <v>21040</v>
      </c>
      <c r="B8" s="1" t="s">
        <v>6</v>
      </c>
      <c r="C8" s="1" t="s">
        <v>57</v>
      </c>
    </row>
    <row r="9" hidden="1" spans="1:3">
      <c r="A9" s="56">
        <v>1255098</v>
      </c>
      <c r="B9" s="1" t="s">
        <v>6</v>
      </c>
      <c r="C9" s="1" t="s">
        <v>56</v>
      </c>
    </row>
    <row r="10" hidden="1" spans="1:3">
      <c r="A10" s="56">
        <v>168495</v>
      </c>
      <c r="B10" s="1" t="s">
        <v>7</v>
      </c>
      <c r="C10" s="1" t="s">
        <v>57</v>
      </c>
    </row>
    <row r="11" hidden="1" spans="1:3">
      <c r="A11" s="56">
        <v>954745</v>
      </c>
      <c r="B11" s="1" t="s">
        <v>7</v>
      </c>
      <c r="C11" s="1" t="s">
        <v>56</v>
      </c>
    </row>
    <row r="12" hidden="1" spans="1:3">
      <c r="A12" s="56">
        <v>20660</v>
      </c>
      <c r="B12" s="1" t="s">
        <v>8</v>
      </c>
      <c r="C12" s="1" t="s">
        <v>57</v>
      </c>
    </row>
    <row r="13" hidden="1" spans="1:3">
      <c r="A13" s="56">
        <v>890562</v>
      </c>
      <c r="B13" s="1" t="s">
        <v>8</v>
      </c>
      <c r="C13" s="1" t="s">
        <v>56</v>
      </c>
    </row>
    <row r="14" hidden="1" spans="1:3">
      <c r="A14" s="56">
        <v>241664.04</v>
      </c>
      <c r="B14" s="1" t="s">
        <v>9</v>
      </c>
      <c r="C14" s="1" t="s">
        <v>57</v>
      </c>
    </row>
    <row r="15" hidden="1" spans="1:3">
      <c r="A15" s="56">
        <v>892383</v>
      </c>
      <c r="B15" s="1" t="s">
        <v>9</v>
      </c>
      <c r="C15" s="1" t="s">
        <v>56</v>
      </c>
    </row>
    <row r="16" hidden="1" spans="1:3">
      <c r="A16" s="56">
        <v>3216</v>
      </c>
      <c r="B16" s="1" t="s">
        <v>10</v>
      </c>
      <c r="C16" s="1" t="s">
        <v>58</v>
      </c>
    </row>
    <row r="17" hidden="1" spans="1:3">
      <c r="A17" s="56">
        <v>9216</v>
      </c>
      <c r="B17" s="1" t="s">
        <v>10</v>
      </c>
      <c r="C17" s="1" t="s">
        <v>59</v>
      </c>
    </row>
    <row r="18" hidden="1" spans="1:3">
      <c r="A18" s="56">
        <v>469863.5</v>
      </c>
      <c r="B18" s="1" t="s">
        <v>10</v>
      </c>
      <c r="C18" s="1" t="s">
        <v>57</v>
      </c>
    </row>
    <row r="19" hidden="1" spans="1:3">
      <c r="A19" s="56">
        <v>657653</v>
      </c>
      <c r="B19" s="1" t="s">
        <v>10</v>
      </c>
      <c r="C19" s="1" t="s">
        <v>56</v>
      </c>
    </row>
    <row r="20" hidden="1" spans="1:3">
      <c r="A20" s="56">
        <v>3226</v>
      </c>
      <c r="B20" s="1" t="s">
        <v>11</v>
      </c>
      <c r="C20" s="1" t="s">
        <v>58</v>
      </c>
    </row>
    <row r="21" hidden="1" spans="1:3">
      <c r="A21" s="56">
        <v>10252</v>
      </c>
      <c r="B21" s="1" t="s">
        <v>11</v>
      </c>
      <c r="C21" s="1" t="s">
        <v>59</v>
      </c>
    </row>
    <row r="22" hidden="1" spans="1:3">
      <c r="A22" s="56">
        <v>1346.38</v>
      </c>
      <c r="B22" s="1" t="s">
        <v>11</v>
      </c>
      <c r="C22" s="1" t="s">
        <v>60</v>
      </c>
    </row>
    <row r="23" hidden="1" spans="1:3">
      <c r="A23" s="56">
        <v>600033.92</v>
      </c>
      <c r="B23" s="1" t="s">
        <v>11</v>
      </c>
      <c r="C23" s="1" t="s">
        <v>57</v>
      </c>
    </row>
    <row r="24" hidden="1" spans="1:3">
      <c r="A24" s="56">
        <v>676957</v>
      </c>
      <c r="B24" s="1" t="s">
        <v>11</v>
      </c>
      <c r="C24" s="1" t="s">
        <v>56</v>
      </c>
    </row>
    <row r="25" hidden="1" spans="1:3">
      <c r="A25" s="56">
        <v>94006</v>
      </c>
      <c r="B25" s="1" t="s">
        <v>12</v>
      </c>
      <c r="C25" s="1" t="s">
        <v>59</v>
      </c>
    </row>
    <row r="26" hidden="1" spans="1:3">
      <c r="A26" s="56">
        <v>824066.34</v>
      </c>
      <c r="B26" s="1" t="s">
        <v>12</v>
      </c>
      <c r="C26" s="1" t="s">
        <v>57</v>
      </c>
    </row>
    <row r="27" hidden="1" spans="1:3">
      <c r="A27" s="56">
        <v>797921</v>
      </c>
      <c r="B27" s="1" t="s">
        <v>12</v>
      </c>
      <c r="C27" s="1" t="s">
        <v>56</v>
      </c>
    </row>
    <row r="28" hidden="1" spans="1:3">
      <c r="A28" s="56">
        <v>38067</v>
      </c>
      <c r="B28" s="1" t="s">
        <v>13</v>
      </c>
      <c r="C28" s="1" t="s">
        <v>58</v>
      </c>
    </row>
    <row r="29" hidden="1" spans="1:3">
      <c r="A29" s="56">
        <v>80532</v>
      </c>
      <c r="B29" s="1" t="s">
        <v>13</v>
      </c>
      <c r="C29" s="1" t="s">
        <v>59</v>
      </c>
    </row>
    <row r="30" spans="1:3">
      <c r="A30" s="56">
        <v>500</v>
      </c>
      <c r="B30" s="1" t="s">
        <v>13</v>
      </c>
      <c r="C30" s="1" t="s">
        <v>61</v>
      </c>
    </row>
    <row r="31" hidden="1" spans="1:3">
      <c r="A31" s="56">
        <v>409000</v>
      </c>
      <c r="B31" s="1" t="s">
        <v>13</v>
      </c>
      <c r="C31" s="1" t="s">
        <v>57</v>
      </c>
    </row>
    <row r="32" hidden="1" spans="1:3">
      <c r="A32" s="56">
        <v>1043230</v>
      </c>
      <c r="B32" s="1" t="s">
        <v>13</v>
      </c>
      <c r="C32" s="1" t="s">
        <v>56</v>
      </c>
    </row>
    <row r="33" hidden="1" spans="1:3">
      <c r="A33" s="56">
        <v>5228.54</v>
      </c>
      <c r="B33" s="1" t="s">
        <v>13</v>
      </c>
      <c r="C33" s="1" t="s">
        <v>62</v>
      </c>
    </row>
    <row r="34" hidden="1" spans="1:3">
      <c r="A34" s="56">
        <v>88097</v>
      </c>
      <c r="B34" s="1" t="s">
        <v>14</v>
      </c>
      <c r="C34" s="1" t="s">
        <v>58</v>
      </c>
    </row>
    <row r="35" hidden="1" spans="1:3">
      <c r="A35" s="56">
        <v>53656</v>
      </c>
      <c r="B35" s="1" t="s">
        <v>14</v>
      </c>
      <c r="C35" s="1" t="s">
        <v>59</v>
      </c>
    </row>
    <row r="36" spans="1:3">
      <c r="A36" s="56">
        <v>2938.18</v>
      </c>
      <c r="B36" s="1" t="s">
        <v>14</v>
      </c>
      <c r="C36" s="1" t="s">
        <v>61</v>
      </c>
    </row>
    <row r="37" hidden="1" spans="1:3">
      <c r="A37" s="56">
        <v>2162.96</v>
      </c>
      <c r="B37" s="1" t="s">
        <v>14</v>
      </c>
      <c r="C37" s="1" t="s">
        <v>60</v>
      </c>
    </row>
    <row r="38" hidden="1" spans="1:3">
      <c r="A38" s="56">
        <v>287864.09</v>
      </c>
      <c r="B38" s="1" t="s">
        <v>14</v>
      </c>
      <c r="C38" s="1" t="s">
        <v>57</v>
      </c>
    </row>
    <row r="39" hidden="1" spans="1:3">
      <c r="A39" s="56">
        <v>595955</v>
      </c>
      <c r="B39" s="1" t="s">
        <v>14</v>
      </c>
      <c r="C39" s="1" t="s">
        <v>56</v>
      </c>
    </row>
    <row r="40" hidden="1" spans="1:3">
      <c r="A40" s="56">
        <v>3843</v>
      </c>
      <c r="B40" s="1" t="s">
        <v>14</v>
      </c>
      <c r="C40" s="1" t="s">
        <v>63</v>
      </c>
    </row>
    <row r="41" hidden="1" spans="1:3">
      <c r="A41" s="56">
        <v>11939.14</v>
      </c>
      <c r="B41" s="1" t="s">
        <v>14</v>
      </c>
      <c r="C41" s="1" t="s">
        <v>62</v>
      </c>
    </row>
    <row r="42" hidden="1" spans="1:3">
      <c r="A42" s="56">
        <v>131542</v>
      </c>
      <c r="B42" s="1" t="s">
        <v>15</v>
      </c>
      <c r="C42" s="1" t="s">
        <v>58</v>
      </c>
    </row>
    <row r="43" hidden="1" spans="1:3">
      <c r="A43" s="56">
        <v>72697</v>
      </c>
      <c r="B43" s="1" t="s">
        <v>15</v>
      </c>
      <c r="C43" s="1" t="s">
        <v>59</v>
      </c>
    </row>
    <row r="44" spans="1:3">
      <c r="A44" s="56">
        <v>11000</v>
      </c>
      <c r="B44" s="1" t="s">
        <v>15</v>
      </c>
      <c r="C44" s="1" t="s">
        <v>61</v>
      </c>
    </row>
    <row r="45" hidden="1" spans="1:3">
      <c r="A45" s="56">
        <v>0</v>
      </c>
      <c r="B45" s="1" t="s">
        <v>15</v>
      </c>
      <c r="C45" s="1" t="s">
        <v>60</v>
      </c>
    </row>
    <row r="46" hidden="1" spans="1:3">
      <c r="A46" s="56">
        <v>647581.12</v>
      </c>
      <c r="B46" s="1" t="s">
        <v>15</v>
      </c>
      <c r="C46" s="1" t="s">
        <v>57</v>
      </c>
    </row>
    <row r="47" hidden="1" spans="1:3">
      <c r="A47" s="56">
        <v>758908</v>
      </c>
      <c r="B47" s="1" t="s">
        <v>15</v>
      </c>
      <c r="C47" s="1" t="s">
        <v>56</v>
      </c>
    </row>
    <row r="48" hidden="1" spans="1:3">
      <c r="A48" s="56">
        <v>19273.34</v>
      </c>
      <c r="B48" s="1" t="s">
        <v>15</v>
      </c>
      <c r="C48" s="1" t="s">
        <v>63</v>
      </c>
    </row>
    <row r="49" hidden="1" spans="1:3">
      <c r="A49" s="56">
        <v>45788</v>
      </c>
      <c r="B49" s="1" t="s">
        <v>16</v>
      </c>
      <c r="C49" s="1" t="s">
        <v>58</v>
      </c>
    </row>
    <row r="50" hidden="1" spans="1:3">
      <c r="A50" s="56">
        <v>44914</v>
      </c>
      <c r="B50" s="1" t="s">
        <v>16</v>
      </c>
      <c r="C50" s="1" t="s">
        <v>59</v>
      </c>
    </row>
    <row r="51" hidden="1" spans="1:3">
      <c r="A51" s="56">
        <v>284771.09</v>
      </c>
      <c r="B51" s="1" t="s">
        <v>16</v>
      </c>
      <c r="C51" s="1" t="s">
        <v>57</v>
      </c>
    </row>
    <row r="52" hidden="1" spans="1:3">
      <c r="A52" s="56">
        <v>1689598</v>
      </c>
      <c r="B52" s="1" t="s">
        <v>16</v>
      </c>
      <c r="C52" s="1" t="s">
        <v>56</v>
      </c>
    </row>
    <row r="53" hidden="1" spans="1:3">
      <c r="A53" s="56">
        <v>54492</v>
      </c>
      <c r="B53" s="1" t="s">
        <v>16</v>
      </c>
      <c r="C53" s="1" t="s">
        <v>63</v>
      </c>
    </row>
    <row r="54" hidden="1" spans="1:3">
      <c r="A54" s="56">
        <v>47729</v>
      </c>
      <c r="B54" s="1" t="s">
        <v>17</v>
      </c>
      <c r="C54" s="1" t="s">
        <v>58</v>
      </c>
    </row>
    <row r="55" hidden="1" spans="1:3">
      <c r="A55" s="56">
        <v>22744.5</v>
      </c>
      <c r="B55" s="1" t="s">
        <v>17</v>
      </c>
      <c r="C55" s="1" t="s">
        <v>59</v>
      </c>
    </row>
    <row r="56" spans="1:3">
      <c r="A56" s="56">
        <v>24950</v>
      </c>
      <c r="B56" s="1" t="s">
        <v>17</v>
      </c>
      <c r="C56" s="1" t="s">
        <v>61</v>
      </c>
    </row>
    <row r="57" hidden="1" spans="1:3">
      <c r="A57" s="56">
        <v>1346.38</v>
      </c>
      <c r="B57" s="1" t="s">
        <v>17</v>
      </c>
      <c r="C57" s="1" t="s">
        <v>60</v>
      </c>
    </row>
    <row r="58" hidden="1" spans="1:3">
      <c r="A58" s="56">
        <v>179036.33</v>
      </c>
      <c r="B58" s="1" t="s">
        <v>17</v>
      </c>
      <c r="C58" s="1" t="s">
        <v>57</v>
      </c>
    </row>
    <row r="59" hidden="1" spans="1:3">
      <c r="A59" s="56">
        <v>1965876</v>
      </c>
      <c r="B59" s="1" t="s">
        <v>17</v>
      </c>
      <c r="C59" s="1" t="s">
        <v>56</v>
      </c>
    </row>
    <row r="60" hidden="1" spans="1:3">
      <c r="A60" s="56">
        <v>9979</v>
      </c>
      <c r="B60" s="1" t="s">
        <v>17</v>
      </c>
      <c r="C60" s="1" t="s">
        <v>63</v>
      </c>
    </row>
    <row r="61" hidden="1" spans="1:3">
      <c r="A61" s="56">
        <v>158019</v>
      </c>
      <c r="B61" s="1" t="s">
        <v>18</v>
      </c>
      <c r="C61" s="1" t="s">
        <v>58</v>
      </c>
    </row>
    <row r="62" hidden="1" spans="1:3">
      <c r="A62" s="56">
        <v>48208</v>
      </c>
      <c r="B62" s="1" t="s">
        <v>18</v>
      </c>
      <c r="C62" s="1" t="s">
        <v>59</v>
      </c>
    </row>
    <row r="63" spans="1:3">
      <c r="A63" s="56">
        <v>24751.55</v>
      </c>
      <c r="B63" s="1" t="s">
        <v>18</v>
      </c>
      <c r="C63" s="1" t="s">
        <v>61</v>
      </c>
    </row>
    <row r="64" hidden="1" spans="1:3">
      <c r="A64" s="56">
        <v>268284.07</v>
      </c>
      <c r="B64" s="1" t="s">
        <v>18</v>
      </c>
      <c r="C64" s="1" t="s">
        <v>57</v>
      </c>
    </row>
    <row r="65" hidden="1" spans="1:3">
      <c r="A65" s="56">
        <v>1970902.67</v>
      </c>
      <c r="B65" s="1" t="s">
        <v>18</v>
      </c>
      <c r="C65" s="1" t="s">
        <v>56</v>
      </c>
    </row>
    <row r="66" hidden="1" spans="1:3">
      <c r="A66" s="56">
        <v>1215</v>
      </c>
      <c r="B66" s="1" t="s">
        <v>18</v>
      </c>
      <c r="C66" s="1" t="s">
        <v>63</v>
      </c>
    </row>
    <row r="67" hidden="1" spans="1:3">
      <c r="A67" s="56">
        <v>109031</v>
      </c>
      <c r="B67" s="1" t="s">
        <v>19</v>
      </c>
      <c r="C67" s="1" t="s">
        <v>58</v>
      </c>
    </row>
    <row r="68" hidden="1" spans="1:3">
      <c r="A68" s="56">
        <v>390261</v>
      </c>
      <c r="B68" s="1" t="s">
        <v>19</v>
      </c>
      <c r="C68" s="1" t="s">
        <v>59</v>
      </c>
    </row>
    <row r="69" spans="1:3">
      <c r="A69" s="56">
        <v>10232</v>
      </c>
      <c r="B69" s="1" t="s">
        <v>19</v>
      </c>
      <c r="C69" s="1" t="s">
        <v>61</v>
      </c>
    </row>
    <row r="70" hidden="1" spans="1:3">
      <c r="A70" s="56">
        <v>13970</v>
      </c>
      <c r="B70" s="1" t="s">
        <v>19</v>
      </c>
      <c r="C70" s="1" t="s">
        <v>60</v>
      </c>
    </row>
    <row r="71" hidden="1" spans="1:3">
      <c r="A71" s="56">
        <v>273646.37</v>
      </c>
      <c r="B71" s="1" t="s">
        <v>19</v>
      </c>
      <c r="C71" s="1" t="s">
        <v>57</v>
      </c>
    </row>
    <row r="72" hidden="1" spans="1:3">
      <c r="A72" s="56">
        <v>2812254.02999999</v>
      </c>
      <c r="B72" s="1" t="s">
        <v>19</v>
      </c>
      <c r="C72" s="1" t="s">
        <v>56</v>
      </c>
    </row>
    <row r="73" hidden="1" spans="1:3">
      <c r="A73" s="56">
        <v>58965</v>
      </c>
      <c r="B73" s="1" t="s">
        <v>19</v>
      </c>
      <c r="C73" s="1" t="s">
        <v>63</v>
      </c>
    </row>
    <row r="74" hidden="1" spans="1:3">
      <c r="A74" s="56">
        <v>170027</v>
      </c>
      <c r="B74" s="1" t="s">
        <v>20</v>
      </c>
      <c r="C74" s="1" t="s">
        <v>58</v>
      </c>
    </row>
    <row r="75" hidden="1" spans="1:3">
      <c r="A75" s="56">
        <v>81636</v>
      </c>
      <c r="B75" s="1" t="s">
        <v>20</v>
      </c>
      <c r="C75" s="1" t="s">
        <v>59</v>
      </c>
    </row>
    <row r="76" spans="1:3">
      <c r="A76" s="56">
        <v>4550</v>
      </c>
      <c r="B76" s="1" t="s">
        <v>20</v>
      </c>
      <c r="C76" s="1" t="s">
        <v>61</v>
      </c>
    </row>
    <row r="77" hidden="1" spans="1:3">
      <c r="A77" s="56">
        <v>4490</v>
      </c>
      <c r="B77" s="1" t="s">
        <v>20</v>
      </c>
      <c r="C77" s="1" t="s">
        <v>60</v>
      </c>
    </row>
    <row r="78" hidden="1" spans="1:3">
      <c r="A78" s="56">
        <v>376675</v>
      </c>
      <c r="B78" s="1" t="s">
        <v>20</v>
      </c>
      <c r="C78" s="1" t="s">
        <v>57</v>
      </c>
    </row>
    <row r="79" hidden="1" spans="1:3">
      <c r="A79" s="56">
        <v>3262611.04</v>
      </c>
      <c r="B79" s="1" t="s">
        <v>20</v>
      </c>
      <c r="C79" s="1" t="s">
        <v>56</v>
      </c>
    </row>
    <row r="80" hidden="1" spans="1:3">
      <c r="A80" s="56">
        <v>107284</v>
      </c>
      <c r="B80" s="1" t="s">
        <v>20</v>
      </c>
      <c r="C80" s="1" t="s">
        <v>63</v>
      </c>
    </row>
    <row r="81" hidden="1" spans="1:3">
      <c r="A81" s="56">
        <v>189225</v>
      </c>
      <c r="B81" s="1" t="s">
        <v>21</v>
      </c>
      <c r="C81" s="1" t="s">
        <v>58</v>
      </c>
    </row>
    <row r="82" hidden="1" spans="1:3">
      <c r="A82" s="56">
        <v>57911</v>
      </c>
      <c r="B82" s="1" t="s">
        <v>21</v>
      </c>
      <c r="C82" s="1" t="s">
        <v>59</v>
      </c>
    </row>
    <row r="83" hidden="1" spans="1:3">
      <c r="A83" s="56">
        <v>415840</v>
      </c>
      <c r="B83" s="1" t="s">
        <v>21</v>
      </c>
      <c r="C83" s="1" t="s">
        <v>57</v>
      </c>
    </row>
    <row r="84" hidden="1" spans="1:3">
      <c r="A84" s="56">
        <v>3577569</v>
      </c>
      <c r="B84" s="1" t="s">
        <v>21</v>
      </c>
      <c r="C84" s="1" t="s">
        <v>56</v>
      </c>
    </row>
    <row r="85" hidden="1" spans="1:3">
      <c r="A85" s="56">
        <v>39761.4</v>
      </c>
      <c r="B85" s="1" t="s">
        <v>21</v>
      </c>
      <c r="C85" s="1" t="s">
        <v>63</v>
      </c>
    </row>
    <row r="86" hidden="1" spans="1:3">
      <c r="A86" s="56">
        <v>204053</v>
      </c>
      <c r="B86" s="1" t="s">
        <v>22</v>
      </c>
      <c r="C86" s="1" t="s">
        <v>58</v>
      </c>
    </row>
    <row r="87" hidden="1" spans="1:3">
      <c r="A87" s="56">
        <v>17054</v>
      </c>
      <c r="B87" s="1" t="s">
        <v>22</v>
      </c>
      <c r="C87" s="1" t="s">
        <v>59</v>
      </c>
    </row>
    <row r="88" spans="1:3">
      <c r="A88" s="56">
        <v>134103</v>
      </c>
      <c r="B88" s="1" t="s">
        <v>22</v>
      </c>
      <c r="C88" s="1" t="s">
        <v>61</v>
      </c>
    </row>
    <row r="89" hidden="1" spans="1:3">
      <c r="A89" s="56">
        <v>0</v>
      </c>
      <c r="B89" s="1" t="s">
        <v>22</v>
      </c>
      <c r="C89" s="1" t="s">
        <v>60</v>
      </c>
    </row>
    <row r="90" hidden="1" spans="1:3">
      <c r="A90" s="56">
        <v>271269.98</v>
      </c>
      <c r="B90" s="1" t="s">
        <v>22</v>
      </c>
      <c r="C90" s="1" t="s">
        <v>57</v>
      </c>
    </row>
    <row r="91" hidden="1" spans="1:3">
      <c r="A91" s="56">
        <v>2974207</v>
      </c>
      <c r="B91" s="1" t="s">
        <v>22</v>
      </c>
      <c r="C91" s="1" t="s">
        <v>56</v>
      </c>
    </row>
    <row r="92" hidden="1" spans="1:3">
      <c r="A92" s="56">
        <v>1891</v>
      </c>
      <c r="B92" s="1" t="s">
        <v>22</v>
      </c>
      <c r="C92" s="1" t="s">
        <v>63</v>
      </c>
    </row>
    <row r="93" hidden="1" spans="1:3">
      <c r="A93" s="56">
        <v>303329</v>
      </c>
      <c r="B93" s="1" t="s">
        <v>23</v>
      </c>
      <c r="C93" s="1" t="s">
        <v>58</v>
      </c>
    </row>
    <row r="94" spans="1:3">
      <c r="A94" s="56">
        <v>121557</v>
      </c>
      <c r="B94" s="1" t="s">
        <v>23</v>
      </c>
      <c r="C94" s="1" t="s">
        <v>61</v>
      </c>
    </row>
    <row r="95" hidden="1" spans="1:3">
      <c r="A95" s="56">
        <v>7128</v>
      </c>
      <c r="B95" s="1" t="s">
        <v>23</v>
      </c>
      <c r="C95" s="1" t="s">
        <v>60</v>
      </c>
    </row>
    <row r="96" hidden="1" spans="1:3">
      <c r="A96" s="56">
        <v>300245</v>
      </c>
      <c r="B96" s="1" t="s">
        <v>23</v>
      </c>
      <c r="C96" s="1" t="s">
        <v>57</v>
      </c>
    </row>
    <row r="97" hidden="1" spans="1:3">
      <c r="A97" s="56">
        <v>2577462</v>
      </c>
      <c r="B97" s="1" t="s">
        <v>23</v>
      </c>
      <c r="C97" s="1" t="s">
        <v>56</v>
      </c>
    </row>
    <row r="98" hidden="1" spans="1:3">
      <c r="A98" s="56">
        <v>8141</v>
      </c>
      <c r="B98" s="1" t="s">
        <v>23</v>
      </c>
      <c r="C98" s="1" t="s">
        <v>63</v>
      </c>
    </row>
    <row r="99" hidden="1" spans="1:3">
      <c r="A99" s="56">
        <v>5371</v>
      </c>
      <c r="B99" s="1" t="s">
        <v>23</v>
      </c>
      <c r="C99" s="1" t="s">
        <v>62</v>
      </c>
    </row>
    <row r="100" hidden="1" spans="1:3">
      <c r="A100" s="56">
        <v>149134</v>
      </c>
      <c r="B100" s="1" t="s">
        <v>24</v>
      </c>
      <c r="C100" s="1" t="s">
        <v>58</v>
      </c>
    </row>
    <row r="101" hidden="1" spans="1:3">
      <c r="A101" s="56">
        <v>33939</v>
      </c>
      <c r="B101" s="1" t="s">
        <v>24</v>
      </c>
      <c r="C101" s="1" t="s">
        <v>59</v>
      </c>
    </row>
    <row r="102" spans="1:3">
      <c r="A102" s="56">
        <v>197193</v>
      </c>
      <c r="B102" s="1" t="s">
        <v>24</v>
      </c>
      <c r="C102" s="1" t="s">
        <v>61</v>
      </c>
    </row>
    <row r="103" hidden="1" spans="1:3">
      <c r="A103" s="56">
        <v>1650</v>
      </c>
      <c r="B103" s="1" t="s">
        <v>24</v>
      </c>
      <c r="C103" s="1" t="s">
        <v>60</v>
      </c>
    </row>
    <row r="104" hidden="1" spans="1:3">
      <c r="A104" s="56">
        <v>419385</v>
      </c>
      <c r="B104" s="1" t="s">
        <v>24</v>
      </c>
      <c r="C104" s="1" t="s">
        <v>57</v>
      </c>
    </row>
    <row r="105" hidden="1" spans="1:3">
      <c r="A105" s="56">
        <v>2095680</v>
      </c>
      <c r="B105" s="1" t="s">
        <v>24</v>
      </c>
      <c r="C105" s="1" t="s">
        <v>56</v>
      </c>
    </row>
    <row r="106" hidden="1" spans="1:3">
      <c r="A106" s="56">
        <v>66142</v>
      </c>
      <c r="B106" s="1" t="s">
        <v>24</v>
      </c>
      <c r="C106" s="1" t="s">
        <v>63</v>
      </c>
    </row>
    <row r="107" hidden="1" spans="1:3">
      <c r="A107" s="56">
        <v>9191</v>
      </c>
      <c r="B107" s="1" t="s">
        <v>24</v>
      </c>
      <c r="C107" s="1" t="s">
        <v>62</v>
      </c>
    </row>
    <row r="108" hidden="1" spans="1:3">
      <c r="A108" s="56">
        <v>360020</v>
      </c>
      <c r="B108" s="1" t="s">
        <v>25</v>
      </c>
      <c r="C108" s="1" t="s">
        <v>58</v>
      </c>
    </row>
    <row r="109" hidden="1" spans="1:3">
      <c r="A109" s="56">
        <v>136944.88</v>
      </c>
      <c r="B109" s="1" t="s">
        <v>25</v>
      </c>
      <c r="C109" s="1" t="s">
        <v>59</v>
      </c>
    </row>
    <row r="110" spans="1:3">
      <c r="A110" s="56">
        <v>243307</v>
      </c>
      <c r="B110" s="1" t="s">
        <v>25</v>
      </c>
      <c r="C110" s="1" t="s">
        <v>61</v>
      </c>
    </row>
    <row r="111" hidden="1" spans="1:3">
      <c r="A111" s="56">
        <v>390695</v>
      </c>
      <c r="B111" s="1" t="s">
        <v>25</v>
      </c>
      <c r="C111" s="1" t="s">
        <v>57</v>
      </c>
    </row>
    <row r="112" hidden="1" spans="1:3">
      <c r="A112" s="56">
        <v>2662834</v>
      </c>
      <c r="B112" s="1" t="s">
        <v>25</v>
      </c>
      <c r="C112" s="1" t="s">
        <v>56</v>
      </c>
    </row>
    <row r="113" hidden="1" spans="1:3">
      <c r="A113" s="56">
        <v>33688</v>
      </c>
      <c r="B113" s="1" t="s">
        <v>25</v>
      </c>
      <c r="C113" s="1" t="s">
        <v>63</v>
      </c>
    </row>
    <row r="114" hidden="1" spans="1:3">
      <c r="A114" s="56">
        <v>24914</v>
      </c>
      <c r="B114" s="1" t="s">
        <v>25</v>
      </c>
      <c r="C114" s="1" t="s">
        <v>62</v>
      </c>
    </row>
    <row r="115" hidden="1" spans="1:3">
      <c r="A115" s="56">
        <v>164585</v>
      </c>
      <c r="B115" s="1" t="s">
        <v>26</v>
      </c>
      <c r="C115" s="1" t="s">
        <v>58</v>
      </c>
    </row>
    <row r="116" hidden="1" spans="1:3">
      <c r="A116" s="56">
        <v>125731</v>
      </c>
      <c r="B116" s="1" t="s">
        <v>26</v>
      </c>
      <c r="C116" s="1" t="s">
        <v>59</v>
      </c>
    </row>
    <row r="117" spans="1:3">
      <c r="A117" s="56">
        <v>256420</v>
      </c>
      <c r="B117" s="1" t="s">
        <v>26</v>
      </c>
      <c r="C117" s="1" t="s">
        <v>61</v>
      </c>
    </row>
    <row r="118" hidden="1" spans="1:3">
      <c r="A118" s="56">
        <v>304010</v>
      </c>
      <c r="B118" s="1" t="s">
        <v>26</v>
      </c>
      <c r="C118" s="1" t="s">
        <v>57</v>
      </c>
    </row>
    <row r="119" hidden="1" spans="1:3">
      <c r="A119" s="56">
        <v>3556405</v>
      </c>
      <c r="B119" s="1" t="s">
        <v>26</v>
      </c>
      <c r="C119" s="1" t="s">
        <v>56</v>
      </c>
    </row>
    <row r="120" hidden="1" spans="1:3">
      <c r="A120" s="56">
        <v>9265</v>
      </c>
      <c r="B120" s="1" t="s">
        <v>26</v>
      </c>
      <c r="C120" s="1" t="s">
        <v>63</v>
      </c>
    </row>
    <row r="121" hidden="1" spans="1:3">
      <c r="A121" s="56">
        <v>440</v>
      </c>
      <c r="B121" s="1" t="s">
        <v>26</v>
      </c>
      <c r="C121" s="1" t="s">
        <v>64</v>
      </c>
    </row>
    <row r="122" hidden="1" spans="1:3">
      <c r="A122" s="56">
        <v>15941</v>
      </c>
      <c r="B122" s="1" t="s">
        <v>26</v>
      </c>
      <c r="C122" s="1" t="s">
        <v>62</v>
      </c>
    </row>
    <row r="123" hidden="1" spans="1:3">
      <c r="A123" s="56">
        <v>99087</v>
      </c>
      <c r="B123" s="1" t="s">
        <v>27</v>
      </c>
      <c r="C123" s="1" t="s">
        <v>58</v>
      </c>
    </row>
    <row r="124" hidden="1" spans="1:3">
      <c r="A124" s="56">
        <v>165449</v>
      </c>
      <c r="B124" s="1" t="s">
        <v>27</v>
      </c>
      <c r="C124" s="1" t="s">
        <v>59</v>
      </c>
    </row>
    <row r="125" spans="1:3">
      <c r="A125" s="56">
        <v>89972</v>
      </c>
      <c r="B125" s="1" t="s">
        <v>27</v>
      </c>
      <c r="C125" s="1" t="s">
        <v>61</v>
      </c>
    </row>
    <row r="126" hidden="1" spans="1:3">
      <c r="A126" s="56">
        <v>553855</v>
      </c>
      <c r="B126" s="1" t="s">
        <v>27</v>
      </c>
      <c r="C126" s="1" t="s">
        <v>57</v>
      </c>
    </row>
    <row r="127" hidden="1" spans="1:3">
      <c r="A127" s="56">
        <v>933808</v>
      </c>
      <c r="B127" s="1" t="s">
        <v>27</v>
      </c>
      <c r="C127" s="1" t="s">
        <v>56</v>
      </c>
    </row>
    <row r="128" hidden="1" spans="1:3">
      <c r="A128" s="56">
        <v>1731</v>
      </c>
      <c r="B128" s="1" t="s">
        <v>27</v>
      </c>
      <c r="C128" s="1" t="s">
        <v>63</v>
      </c>
    </row>
    <row r="129" hidden="1" spans="1:3">
      <c r="A129" s="56">
        <v>18045</v>
      </c>
      <c r="B129" s="1" t="s">
        <v>27</v>
      </c>
      <c r="C129" s="1" t="s">
        <v>62</v>
      </c>
    </row>
    <row r="130" hidden="1" spans="1:3">
      <c r="A130" s="56">
        <v>60929</v>
      </c>
      <c r="B130" s="1" t="s">
        <v>28</v>
      </c>
      <c r="C130" s="1" t="s">
        <v>58</v>
      </c>
    </row>
    <row r="131" hidden="1" spans="1:3">
      <c r="A131" s="56">
        <v>203912</v>
      </c>
      <c r="B131" s="1" t="s">
        <v>28</v>
      </c>
      <c r="C131" s="1" t="s">
        <v>59</v>
      </c>
    </row>
    <row r="132" spans="1:3">
      <c r="A132" s="56">
        <v>32034</v>
      </c>
      <c r="B132" s="1" t="s">
        <v>28</v>
      </c>
      <c r="C132" s="1" t="s">
        <v>61</v>
      </c>
    </row>
    <row r="133" hidden="1" spans="1:3">
      <c r="A133" s="56">
        <v>419635</v>
      </c>
      <c r="B133" s="1" t="s">
        <v>28</v>
      </c>
      <c r="C133" s="1" t="s">
        <v>57</v>
      </c>
    </row>
    <row r="134" hidden="1" spans="1:3">
      <c r="A134" s="56">
        <v>1230765</v>
      </c>
      <c r="B134" s="1" t="s">
        <v>28</v>
      </c>
      <c r="C134" s="1" t="s">
        <v>56</v>
      </c>
    </row>
    <row r="135" hidden="1" spans="1:3">
      <c r="A135" s="56">
        <v>5550</v>
      </c>
      <c r="B135" s="1" t="s">
        <v>28</v>
      </c>
      <c r="C135" s="1" t="s">
        <v>62</v>
      </c>
    </row>
    <row r="136" hidden="1" spans="1:3">
      <c r="A136" s="56">
        <v>70694</v>
      </c>
      <c r="B136" s="1" t="s">
        <v>29</v>
      </c>
      <c r="C136" s="1" t="s">
        <v>58</v>
      </c>
    </row>
    <row r="137" hidden="1" spans="1:3">
      <c r="A137" s="56">
        <v>377952</v>
      </c>
      <c r="B137" s="1" t="s">
        <v>29</v>
      </c>
      <c r="C137" s="1" t="s">
        <v>59</v>
      </c>
    </row>
    <row r="138" spans="1:3">
      <c r="A138" s="56">
        <v>145225</v>
      </c>
      <c r="B138" s="1" t="s">
        <v>29</v>
      </c>
      <c r="C138" s="1" t="s">
        <v>61</v>
      </c>
    </row>
    <row r="139" hidden="1" spans="1:3">
      <c r="A139" s="56">
        <v>0</v>
      </c>
      <c r="B139" s="1" t="s">
        <v>29</v>
      </c>
      <c r="C139" s="1" t="s">
        <v>60</v>
      </c>
    </row>
    <row r="140" hidden="1" spans="1:3">
      <c r="A140" s="56">
        <v>294980</v>
      </c>
      <c r="B140" s="1" t="s">
        <v>29</v>
      </c>
      <c r="C140" s="1" t="s">
        <v>57</v>
      </c>
    </row>
    <row r="141" hidden="1" spans="1:3">
      <c r="A141" s="56">
        <v>1319796</v>
      </c>
      <c r="B141" s="1" t="s">
        <v>29</v>
      </c>
      <c r="C141" s="1" t="s">
        <v>56</v>
      </c>
    </row>
    <row r="142" hidden="1" spans="1:3">
      <c r="A142" s="56">
        <v>5149</v>
      </c>
      <c r="B142" s="1" t="s">
        <v>29</v>
      </c>
      <c r="C142" s="1" t="s">
        <v>63</v>
      </c>
    </row>
    <row r="143" hidden="1" spans="1:3">
      <c r="A143" s="56">
        <v>7851</v>
      </c>
      <c r="B143" s="1" t="s">
        <v>29</v>
      </c>
      <c r="C143" s="1" t="s">
        <v>62</v>
      </c>
    </row>
    <row r="144" hidden="1" spans="1:3">
      <c r="A144" s="56">
        <v>348064</v>
      </c>
      <c r="B144" s="1" t="s">
        <v>30</v>
      </c>
      <c r="C144" s="1" t="s">
        <v>58</v>
      </c>
    </row>
    <row r="145" hidden="1" spans="1:3">
      <c r="A145" s="56">
        <v>0</v>
      </c>
      <c r="B145" s="1" t="s">
        <v>30</v>
      </c>
      <c r="C145" s="1" t="s">
        <v>65</v>
      </c>
    </row>
    <row r="146" hidden="1" spans="1:3">
      <c r="A146" s="56">
        <v>286003</v>
      </c>
      <c r="B146" s="1" t="s">
        <v>30</v>
      </c>
      <c r="C146" s="1" t="s">
        <v>59</v>
      </c>
    </row>
    <row r="147" spans="1:3">
      <c r="A147" s="56">
        <v>162330</v>
      </c>
      <c r="B147" s="1" t="s">
        <v>30</v>
      </c>
      <c r="C147" s="1" t="s">
        <v>61</v>
      </c>
    </row>
    <row r="148" hidden="1" spans="1:3">
      <c r="A148" s="56">
        <v>244655</v>
      </c>
      <c r="B148" s="1" t="s">
        <v>30</v>
      </c>
      <c r="C148" s="1" t="s">
        <v>57</v>
      </c>
    </row>
    <row r="149" hidden="1" spans="1:3">
      <c r="A149" s="56">
        <v>1741404</v>
      </c>
      <c r="B149" s="1" t="s">
        <v>30</v>
      </c>
      <c r="C149" s="1" t="s">
        <v>56</v>
      </c>
    </row>
    <row r="150" hidden="1" spans="1:3">
      <c r="A150" s="56">
        <v>3259</v>
      </c>
      <c r="B150" s="1" t="s">
        <v>30</v>
      </c>
      <c r="C150" s="1" t="s">
        <v>63</v>
      </c>
    </row>
    <row r="151" hidden="1" spans="1:3">
      <c r="A151" s="56">
        <v>10232</v>
      </c>
      <c r="B151" s="1" t="s">
        <v>30</v>
      </c>
      <c r="C151" s="1" t="s">
        <v>62</v>
      </c>
    </row>
    <row r="152" hidden="1" spans="1:3">
      <c r="A152" s="56">
        <v>3818</v>
      </c>
      <c r="B152" s="1" t="s">
        <v>30</v>
      </c>
      <c r="C152" s="1" t="s">
        <v>66</v>
      </c>
    </row>
    <row r="153" hidden="1" spans="1:3">
      <c r="A153" s="56">
        <v>269379</v>
      </c>
      <c r="B153" s="1" t="s">
        <v>31</v>
      </c>
      <c r="C153" s="1" t="s">
        <v>58</v>
      </c>
    </row>
    <row r="154" hidden="1" spans="1:3">
      <c r="A154" s="56">
        <v>47151</v>
      </c>
      <c r="B154" s="1" t="s">
        <v>31</v>
      </c>
      <c r="C154" s="1" t="s">
        <v>65</v>
      </c>
    </row>
    <row r="155" hidden="1" spans="1:3">
      <c r="A155" s="56">
        <v>173449</v>
      </c>
      <c r="B155" s="1" t="s">
        <v>31</v>
      </c>
      <c r="C155" s="1" t="s">
        <v>59</v>
      </c>
    </row>
    <row r="156" spans="1:3">
      <c r="A156" s="56">
        <v>162073</v>
      </c>
      <c r="B156" s="1" t="s">
        <v>31</v>
      </c>
      <c r="C156" s="1" t="s">
        <v>61</v>
      </c>
    </row>
    <row r="157" hidden="1" spans="1:3">
      <c r="A157" s="56">
        <v>199395</v>
      </c>
      <c r="B157" s="1" t="s">
        <v>31</v>
      </c>
      <c r="C157" s="1" t="s">
        <v>57</v>
      </c>
    </row>
    <row r="158" hidden="1" spans="1:3">
      <c r="A158" s="56">
        <v>2224470</v>
      </c>
      <c r="B158" s="1" t="s">
        <v>31</v>
      </c>
      <c r="C158" s="1" t="s">
        <v>56</v>
      </c>
    </row>
    <row r="159" hidden="1" spans="1:3">
      <c r="A159" s="56">
        <v>2590</v>
      </c>
      <c r="B159" s="1" t="s">
        <v>31</v>
      </c>
      <c r="C159" s="1" t="s">
        <v>63</v>
      </c>
    </row>
    <row r="160" hidden="1" spans="1:3">
      <c r="A160" s="56">
        <v>43462</v>
      </c>
      <c r="B160" s="1" t="s">
        <v>31</v>
      </c>
      <c r="C160" s="1" t="s">
        <v>62</v>
      </c>
    </row>
    <row r="161" hidden="1" spans="1:3">
      <c r="A161" s="56">
        <v>5727</v>
      </c>
      <c r="B161" s="1" t="s">
        <v>31</v>
      </c>
      <c r="C161" s="1" t="s">
        <v>66</v>
      </c>
    </row>
    <row r="162" hidden="1" spans="1:3">
      <c r="A162" s="56">
        <v>311004</v>
      </c>
      <c r="B162" s="1" t="s">
        <v>32</v>
      </c>
      <c r="C162" s="1" t="s">
        <v>58</v>
      </c>
    </row>
    <row r="163" hidden="1" spans="1:3">
      <c r="A163" s="56">
        <v>73004</v>
      </c>
      <c r="B163" s="1" t="s">
        <v>32</v>
      </c>
      <c r="C163" s="1" t="s">
        <v>65</v>
      </c>
    </row>
    <row r="164" hidden="1" spans="1:3">
      <c r="A164" s="56">
        <v>192623</v>
      </c>
      <c r="B164" s="1" t="s">
        <v>32</v>
      </c>
      <c r="C164" s="1" t="s">
        <v>59</v>
      </c>
    </row>
    <row r="165" spans="1:3">
      <c r="A165" s="56">
        <v>123695</v>
      </c>
      <c r="B165" s="1" t="s">
        <v>32</v>
      </c>
      <c r="C165" s="1" t="s">
        <v>61</v>
      </c>
    </row>
    <row r="166" hidden="1" spans="1:3">
      <c r="A166" s="56">
        <v>231205</v>
      </c>
      <c r="B166" s="1" t="s">
        <v>32</v>
      </c>
      <c r="C166" s="1" t="s">
        <v>57</v>
      </c>
    </row>
    <row r="167" hidden="1" spans="1:3">
      <c r="A167" s="56">
        <v>1987538</v>
      </c>
      <c r="B167" s="1" t="s">
        <v>32</v>
      </c>
      <c r="C167" s="1" t="s">
        <v>56</v>
      </c>
    </row>
    <row r="168" hidden="1" spans="1:3">
      <c r="A168" s="56">
        <v>37096</v>
      </c>
      <c r="B168" s="1" t="s">
        <v>32</v>
      </c>
      <c r="C168" s="1" t="s">
        <v>62</v>
      </c>
    </row>
    <row r="169" hidden="1" spans="1:3">
      <c r="A169" s="56">
        <v>93079</v>
      </c>
      <c r="B169" s="1" t="s">
        <v>33</v>
      </c>
      <c r="C169" s="1" t="s">
        <v>58</v>
      </c>
    </row>
    <row r="170" hidden="1" spans="1:3">
      <c r="A170" s="56">
        <v>47100</v>
      </c>
      <c r="B170" s="1" t="s">
        <v>33</v>
      </c>
      <c r="C170" s="1" t="s">
        <v>65</v>
      </c>
    </row>
    <row r="171" hidden="1" spans="1:3">
      <c r="A171" s="56">
        <v>283577</v>
      </c>
      <c r="B171" s="1" t="s">
        <v>33</v>
      </c>
      <c r="C171" s="1" t="s">
        <v>59</v>
      </c>
    </row>
    <row r="172" spans="1:3">
      <c r="A172" s="56">
        <v>215725</v>
      </c>
      <c r="B172" s="1" t="s">
        <v>33</v>
      </c>
      <c r="C172" s="1" t="s">
        <v>61</v>
      </c>
    </row>
    <row r="173" hidden="1" spans="1:3">
      <c r="A173" s="56">
        <v>0</v>
      </c>
      <c r="B173" s="1" t="s">
        <v>33</v>
      </c>
      <c r="C173" s="1" t="s">
        <v>60</v>
      </c>
    </row>
    <row r="174" hidden="1" spans="1:3">
      <c r="A174" s="56">
        <v>407495</v>
      </c>
      <c r="B174" s="1" t="s">
        <v>33</v>
      </c>
      <c r="C174" s="1" t="s">
        <v>57</v>
      </c>
    </row>
    <row r="175" hidden="1" spans="1:3">
      <c r="A175" s="56">
        <v>1868662</v>
      </c>
      <c r="B175" s="1" t="s">
        <v>33</v>
      </c>
      <c r="C175" s="1" t="s">
        <v>56</v>
      </c>
    </row>
    <row r="176" hidden="1" spans="1:3">
      <c r="A176" s="56">
        <v>16299</v>
      </c>
      <c r="B176" s="1" t="s">
        <v>33</v>
      </c>
      <c r="C176" s="1" t="s">
        <v>62</v>
      </c>
    </row>
    <row r="177" hidden="1" spans="1:3">
      <c r="A177" s="56">
        <v>224332</v>
      </c>
      <c r="B177" s="1" t="s">
        <v>34</v>
      </c>
      <c r="C177" s="1" t="s">
        <v>58</v>
      </c>
    </row>
    <row r="178" hidden="1" spans="1:3">
      <c r="A178" s="56">
        <v>91323</v>
      </c>
      <c r="B178" s="1" t="s">
        <v>34</v>
      </c>
      <c r="C178" s="1" t="s">
        <v>65</v>
      </c>
    </row>
    <row r="179" hidden="1" spans="1:3">
      <c r="A179" s="56">
        <v>412489</v>
      </c>
      <c r="B179" s="1" t="s">
        <v>34</v>
      </c>
      <c r="C179" s="1" t="s">
        <v>59</v>
      </c>
    </row>
    <row r="180" spans="1:3">
      <c r="A180" s="56">
        <v>204123</v>
      </c>
      <c r="B180" s="1" t="s">
        <v>34</v>
      </c>
      <c r="C180" s="1" t="s">
        <v>61</v>
      </c>
    </row>
    <row r="181" hidden="1" spans="1:3">
      <c r="A181" s="56">
        <v>23300</v>
      </c>
      <c r="B181" s="1" t="s">
        <v>34</v>
      </c>
      <c r="C181" s="1" t="s">
        <v>67</v>
      </c>
    </row>
    <row r="182" hidden="1" spans="1:3">
      <c r="A182" s="56">
        <v>0</v>
      </c>
      <c r="B182" s="1" t="s">
        <v>34</v>
      </c>
      <c r="C182" s="1" t="s">
        <v>60</v>
      </c>
    </row>
    <row r="183" hidden="1" spans="1:3">
      <c r="A183" s="56">
        <v>354890</v>
      </c>
      <c r="B183" s="1" t="s">
        <v>34</v>
      </c>
      <c r="C183" s="1" t="s">
        <v>57</v>
      </c>
    </row>
    <row r="184" hidden="1" spans="1:3">
      <c r="A184" s="56">
        <v>1114797</v>
      </c>
      <c r="B184" s="1" t="s">
        <v>34</v>
      </c>
      <c r="C184" s="1" t="s">
        <v>56</v>
      </c>
    </row>
    <row r="185" hidden="1" spans="1:3">
      <c r="A185" s="56">
        <v>18350</v>
      </c>
      <c r="B185" s="1" t="s">
        <v>34</v>
      </c>
      <c r="C185" s="1" t="s">
        <v>62</v>
      </c>
    </row>
    <row r="186" hidden="1" spans="1:3">
      <c r="A186" s="56">
        <v>962341</v>
      </c>
      <c r="B186" s="1" t="s">
        <v>35</v>
      </c>
      <c r="C186" s="1" t="s">
        <v>58</v>
      </c>
    </row>
    <row r="187" hidden="1" spans="1:3">
      <c r="A187" s="56">
        <v>19000</v>
      </c>
      <c r="B187" s="1" t="s">
        <v>35</v>
      </c>
      <c r="C187" s="1" t="s">
        <v>65</v>
      </c>
    </row>
    <row r="188" hidden="1" spans="1:3">
      <c r="A188" s="56">
        <v>623096</v>
      </c>
      <c r="B188" s="1" t="s">
        <v>35</v>
      </c>
      <c r="C188" s="1" t="s">
        <v>59</v>
      </c>
    </row>
    <row r="189" spans="1:3">
      <c r="A189" s="56">
        <v>173621</v>
      </c>
      <c r="B189" s="1" t="s">
        <v>35</v>
      </c>
      <c r="C189" s="1" t="s">
        <v>61</v>
      </c>
    </row>
    <row r="190" hidden="1" spans="1:3">
      <c r="A190" s="56">
        <v>276745</v>
      </c>
      <c r="B190" s="1" t="s">
        <v>35</v>
      </c>
      <c r="C190" s="1" t="s">
        <v>57</v>
      </c>
    </row>
    <row r="191" hidden="1" spans="1:3">
      <c r="A191" s="56">
        <v>1750550</v>
      </c>
      <c r="B191" s="1" t="s">
        <v>35</v>
      </c>
      <c r="C191" s="1" t="s">
        <v>56</v>
      </c>
    </row>
    <row r="192" hidden="1" spans="1:3">
      <c r="A192" s="56">
        <v>3081</v>
      </c>
      <c r="B192" s="1" t="s">
        <v>35</v>
      </c>
      <c r="C192" s="1" t="s">
        <v>62</v>
      </c>
    </row>
    <row r="193" hidden="1" spans="1:3">
      <c r="A193" s="56">
        <v>1389775</v>
      </c>
      <c r="B193" s="1" t="s">
        <v>36</v>
      </c>
      <c r="C193" s="1" t="s">
        <v>58</v>
      </c>
    </row>
    <row r="194" hidden="1" spans="1:3">
      <c r="A194" s="56">
        <v>71255</v>
      </c>
      <c r="B194" s="1" t="s">
        <v>36</v>
      </c>
      <c r="C194" s="1" t="s">
        <v>65</v>
      </c>
    </row>
    <row r="195" hidden="1" spans="1:3">
      <c r="A195" s="56">
        <v>1181663</v>
      </c>
      <c r="B195" s="1" t="s">
        <v>36</v>
      </c>
      <c r="C195" s="1" t="s">
        <v>59</v>
      </c>
    </row>
    <row r="196" spans="1:3">
      <c r="A196" s="56">
        <v>162612</v>
      </c>
      <c r="B196" s="1" t="s">
        <v>36</v>
      </c>
      <c r="C196" s="1" t="s">
        <v>61</v>
      </c>
    </row>
    <row r="197" hidden="1" spans="1:3">
      <c r="A197" s="56">
        <v>0</v>
      </c>
      <c r="B197" s="1" t="s">
        <v>36</v>
      </c>
      <c r="C197" s="1" t="s">
        <v>60</v>
      </c>
    </row>
    <row r="198" hidden="1" spans="1:3">
      <c r="A198" s="56">
        <v>436850</v>
      </c>
      <c r="B198" s="1" t="s">
        <v>36</v>
      </c>
      <c r="C198" s="1" t="s">
        <v>57</v>
      </c>
    </row>
    <row r="199" hidden="1" spans="1:3">
      <c r="A199" s="56">
        <v>1579397</v>
      </c>
      <c r="B199" s="1" t="s">
        <v>36</v>
      </c>
      <c r="C199" s="1" t="s">
        <v>56</v>
      </c>
    </row>
    <row r="200" hidden="1" spans="1:3">
      <c r="A200" s="56">
        <v>26704</v>
      </c>
      <c r="B200" s="1" t="s">
        <v>36</v>
      </c>
      <c r="C200" s="1" t="s">
        <v>62</v>
      </c>
    </row>
    <row r="201" hidden="1" spans="1:3">
      <c r="A201" s="56">
        <v>767989</v>
      </c>
      <c r="B201" s="1" t="s">
        <v>37</v>
      </c>
      <c r="C201" s="1" t="s">
        <v>58</v>
      </c>
    </row>
    <row r="202" hidden="1" spans="1:3">
      <c r="A202" s="56">
        <v>126146</v>
      </c>
      <c r="B202" s="1" t="s">
        <v>37</v>
      </c>
      <c r="C202" s="1" t="s">
        <v>65</v>
      </c>
    </row>
    <row r="203" hidden="1" spans="1:3">
      <c r="A203" s="56">
        <v>2192469</v>
      </c>
      <c r="B203" s="1" t="s">
        <v>37</v>
      </c>
      <c r="C203" s="1" t="s">
        <v>59</v>
      </c>
    </row>
    <row r="204" spans="1:3">
      <c r="A204" s="56">
        <v>183467</v>
      </c>
      <c r="B204" s="1" t="s">
        <v>37</v>
      </c>
      <c r="C204" s="1" t="s">
        <v>61</v>
      </c>
    </row>
    <row r="205" hidden="1" spans="1:3">
      <c r="A205" s="56">
        <v>0</v>
      </c>
      <c r="B205" s="1" t="s">
        <v>37</v>
      </c>
      <c r="C205" s="1" t="s">
        <v>60</v>
      </c>
    </row>
    <row r="206" hidden="1" spans="1:3">
      <c r="A206" s="56">
        <v>477885</v>
      </c>
      <c r="B206" s="1" t="s">
        <v>37</v>
      </c>
      <c r="C206" s="1" t="s">
        <v>57</v>
      </c>
    </row>
    <row r="207" hidden="1" spans="1:3">
      <c r="A207" s="56">
        <v>1469093</v>
      </c>
      <c r="B207" s="1" t="s">
        <v>37</v>
      </c>
      <c r="C207" s="1" t="s">
        <v>56</v>
      </c>
    </row>
    <row r="208" hidden="1" spans="1:3">
      <c r="A208" s="56">
        <v>39392</v>
      </c>
      <c r="B208" s="1" t="s">
        <v>37</v>
      </c>
      <c r="C208" s="1" t="s">
        <v>62</v>
      </c>
    </row>
    <row r="209" hidden="1" spans="1:3">
      <c r="A209" s="56">
        <v>718263</v>
      </c>
      <c r="B209" s="1" t="s">
        <v>38</v>
      </c>
      <c r="C209" s="1" t="s">
        <v>58</v>
      </c>
    </row>
    <row r="210" hidden="1" spans="1:3">
      <c r="A210" s="56">
        <v>106550</v>
      </c>
      <c r="B210" s="1" t="s">
        <v>38</v>
      </c>
      <c r="C210" s="1" t="s">
        <v>65</v>
      </c>
    </row>
    <row r="211" hidden="1" spans="1:3">
      <c r="A211" s="56">
        <v>3374402</v>
      </c>
      <c r="B211" s="1" t="s">
        <v>38</v>
      </c>
      <c r="C211" s="1" t="s">
        <v>59</v>
      </c>
    </row>
    <row r="212" spans="1:3">
      <c r="A212" s="56">
        <v>94484</v>
      </c>
      <c r="B212" s="1" t="s">
        <v>38</v>
      </c>
      <c r="C212" s="1" t="s">
        <v>61</v>
      </c>
    </row>
    <row r="213" hidden="1" spans="1:3">
      <c r="A213" s="56">
        <v>0</v>
      </c>
      <c r="B213" s="1" t="s">
        <v>38</v>
      </c>
      <c r="C213" s="1" t="s">
        <v>60</v>
      </c>
    </row>
    <row r="214" hidden="1" spans="1:3">
      <c r="A214" s="56">
        <v>336145</v>
      </c>
      <c r="B214" s="1" t="s">
        <v>38</v>
      </c>
      <c r="C214" s="1" t="s">
        <v>57</v>
      </c>
    </row>
    <row r="215" hidden="1" spans="1:3">
      <c r="A215" s="56">
        <v>1219600</v>
      </c>
      <c r="B215" s="1" t="s">
        <v>38</v>
      </c>
      <c r="C215" s="1" t="s">
        <v>56</v>
      </c>
    </row>
    <row r="216" hidden="1" spans="1:3">
      <c r="A216" s="56">
        <v>26523</v>
      </c>
      <c r="B216" s="1" t="s">
        <v>38</v>
      </c>
      <c r="C216" s="1" t="s">
        <v>62</v>
      </c>
    </row>
    <row r="217" hidden="1" spans="1:3">
      <c r="A217" s="56">
        <v>838007</v>
      </c>
      <c r="B217" s="1" t="s">
        <v>39</v>
      </c>
      <c r="C217" s="1" t="s">
        <v>58</v>
      </c>
    </row>
    <row r="218" hidden="1" spans="1:3">
      <c r="A218" s="56">
        <v>147869</v>
      </c>
      <c r="B218" s="1" t="s">
        <v>39</v>
      </c>
      <c r="C218" s="1" t="s">
        <v>65</v>
      </c>
    </row>
    <row r="219" hidden="1" spans="1:3">
      <c r="A219" s="56">
        <v>3630500</v>
      </c>
      <c r="B219" s="1" t="s">
        <v>39</v>
      </c>
      <c r="C219" s="1" t="s">
        <v>59</v>
      </c>
    </row>
    <row r="220" spans="1:3">
      <c r="A220" s="56">
        <v>169134</v>
      </c>
      <c r="B220" s="1" t="s">
        <v>39</v>
      </c>
      <c r="C220" s="1" t="s">
        <v>61</v>
      </c>
    </row>
    <row r="221" hidden="1" spans="1:3">
      <c r="A221" s="56">
        <v>0</v>
      </c>
      <c r="B221" s="1" t="s">
        <v>39</v>
      </c>
      <c r="C221" s="1" t="s">
        <v>60</v>
      </c>
    </row>
    <row r="222" hidden="1" spans="1:3">
      <c r="A222" s="56">
        <v>590430</v>
      </c>
      <c r="B222" s="1" t="s">
        <v>39</v>
      </c>
      <c r="C222" s="1" t="s">
        <v>57</v>
      </c>
    </row>
    <row r="223" hidden="1" spans="1:3">
      <c r="A223" s="56">
        <v>1470430</v>
      </c>
      <c r="B223" s="1" t="s">
        <v>39</v>
      </c>
      <c r="C223" s="1" t="s">
        <v>56</v>
      </c>
    </row>
    <row r="224" hidden="1" spans="1:3">
      <c r="A224" s="56">
        <v>2059</v>
      </c>
      <c r="B224" s="1" t="s">
        <v>39</v>
      </c>
      <c r="C224" s="1" t="s">
        <v>62</v>
      </c>
    </row>
    <row r="225" hidden="1" spans="1:3">
      <c r="A225" s="56">
        <v>17871</v>
      </c>
      <c r="B225" s="1" t="s">
        <v>39</v>
      </c>
      <c r="C225" s="1" t="s">
        <v>68</v>
      </c>
    </row>
    <row r="226" hidden="1" spans="1:3">
      <c r="A226" s="56">
        <v>535857</v>
      </c>
      <c r="B226" s="1" t="s">
        <v>40</v>
      </c>
      <c r="C226" s="1" t="s">
        <v>58</v>
      </c>
    </row>
    <row r="227" hidden="1" spans="1:3">
      <c r="A227" s="56">
        <v>17044</v>
      </c>
      <c r="B227" s="1" t="s">
        <v>40</v>
      </c>
      <c r="C227" s="1" t="s">
        <v>65</v>
      </c>
    </row>
    <row r="228" hidden="1" spans="1:3">
      <c r="A228" s="56">
        <v>1588883</v>
      </c>
      <c r="B228" s="1" t="s">
        <v>40</v>
      </c>
      <c r="C228" s="1" t="s">
        <v>59</v>
      </c>
    </row>
    <row r="229" spans="1:3">
      <c r="A229" s="56">
        <v>34965</v>
      </c>
      <c r="B229" s="1" t="s">
        <v>40</v>
      </c>
      <c r="C229" s="1" t="s">
        <v>61</v>
      </c>
    </row>
    <row r="230" hidden="1" spans="1:3">
      <c r="A230" s="56">
        <v>573810</v>
      </c>
      <c r="B230" s="1" t="s">
        <v>40</v>
      </c>
      <c r="C230" s="1" t="s">
        <v>57</v>
      </c>
    </row>
    <row r="231" hidden="1" spans="1:3">
      <c r="A231" s="56">
        <v>1082106</v>
      </c>
      <c r="B231" s="1" t="s">
        <v>40</v>
      </c>
      <c r="C231" s="1" t="s">
        <v>56</v>
      </c>
    </row>
    <row r="232" hidden="1" spans="1:3">
      <c r="A232" s="56">
        <v>2059</v>
      </c>
      <c r="B232" s="1" t="s">
        <v>40</v>
      </c>
      <c r="C232" s="1" t="s">
        <v>62</v>
      </c>
    </row>
    <row r="233" hidden="1" spans="1:3">
      <c r="A233" s="56">
        <v>6578</v>
      </c>
      <c r="B233" s="1" t="s">
        <v>40</v>
      </c>
      <c r="C233" s="1" t="s">
        <v>68</v>
      </c>
    </row>
    <row r="234" hidden="1" spans="1:3">
      <c r="A234" s="56">
        <v>763314</v>
      </c>
      <c r="B234" s="1" t="s">
        <v>41</v>
      </c>
      <c r="C234" s="1" t="s">
        <v>58</v>
      </c>
    </row>
    <row r="235" hidden="1" spans="1:3">
      <c r="A235" s="56">
        <v>53686</v>
      </c>
      <c r="B235" s="1" t="s">
        <v>41</v>
      </c>
      <c r="C235" s="1" t="s">
        <v>65</v>
      </c>
    </row>
    <row r="236" hidden="1" spans="1:3">
      <c r="A236" s="56">
        <v>1852468</v>
      </c>
      <c r="B236" s="1" t="s">
        <v>41</v>
      </c>
      <c r="C236" s="1" t="s">
        <v>59</v>
      </c>
    </row>
    <row r="237" spans="1:3">
      <c r="A237" s="56">
        <v>2028</v>
      </c>
      <c r="B237" s="1" t="s">
        <v>41</v>
      </c>
      <c r="C237" s="1" t="s">
        <v>61</v>
      </c>
    </row>
    <row r="238" hidden="1" spans="1:3">
      <c r="A238" s="56">
        <v>6900</v>
      </c>
      <c r="B238" s="1" t="s">
        <v>41</v>
      </c>
      <c r="C238" s="1" t="s">
        <v>67</v>
      </c>
    </row>
    <row r="239" hidden="1" spans="1:3">
      <c r="A239" s="56">
        <v>0</v>
      </c>
      <c r="B239" s="1" t="s">
        <v>41</v>
      </c>
      <c r="C239" s="1" t="s">
        <v>60</v>
      </c>
    </row>
    <row r="240" hidden="1" spans="1:3">
      <c r="A240" s="56">
        <v>395065</v>
      </c>
      <c r="B240" s="1" t="s">
        <v>41</v>
      </c>
      <c r="C240" s="1" t="s">
        <v>57</v>
      </c>
    </row>
    <row r="241" hidden="1" spans="1:3">
      <c r="A241" s="56">
        <v>321435</v>
      </c>
      <c r="B241" s="1" t="s">
        <v>41</v>
      </c>
      <c r="C241" s="1" t="s">
        <v>56</v>
      </c>
    </row>
    <row r="242" hidden="1" spans="1:3">
      <c r="A242" s="56">
        <v>877996</v>
      </c>
      <c r="B242" s="1" t="s">
        <v>42</v>
      </c>
      <c r="C242" s="1" t="s">
        <v>58</v>
      </c>
    </row>
    <row r="243" hidden="1" spans="1:3">
      <c r="A243" s="56">
        <v>128074</v>
      </c>
      <c r="B243" s="1" t="s">
        <v>42</v>
      </c>
      <c r="C243" s="1" t="s">
        <v>65</v>
      </c>
    </row>
    <row r="244" hidden="1" spans="1:3">
      <c r="A244" s="56">
        <v>1254978</v>
      </c>
      <c r="B244" s="1" t="s">
        <v>42</v>
      </c>
      <c r="C244" s="1" t="s">
        <v>59</v>
      </c>
    </row>
    <row r="245" spans="1:3">
      <c r="A245" s="56">
        <v>4874</v>
      </c>
      <c r="B245" s="1" t="s">
        <v>42</v>
      </c>
      <c r="C245" s="1" t="s">
        <v>61</v>
      </c>
    </row>
    <row r="246" hidden="1" spans="1:3">
      <c r="A246" s="56">
        <v>467345</v>
      </c>
      <c r="B246" s="1" t="s">
        <v>42</v>
      </c>
      <c r="C246" s="1" t="s">
        <v>57</v>
      </c>
    </row>
    <row r="247" hidden="1" spans="1:3">
      <c r="A247" s="56">
        <v>629199</v>
      </c>
      <c r="B247" s="1" t="s">
        <v>42</v>
      </c>
      <c r="C247" s="1" t="s">
        <v>56</v>
      </c>
    </row>
    <row r="248" hidden="1" spans="1:3">
      <c r="A248" s="56">
        <v>195</v>
      </c>
      <c r="B248" s="1" t="s">
        <v>42</v>
      </c>
      <c r="C248" s="1" t="s">
        <v>62</v>
      </c>
    </row>
    <row r="249" hidden="1" spans="1:3">
      <c r="A249" s="56">
        <v>1909</v>
      </c>
      <c r="B249" s="1" t="s">
        <v>42</v>
      </c>
      <c r="C249" s="1" t="s">
        <v>68</v>
      </c>
    </row>
    <row r="250" hidden="1" spans="1:3">
      <c r="A250" s="56">
        <v>1087573</v>
      </c>
      <c r="B250" s="1" t="s">
        <v>43</v>
      </c>
      <c r="C250" s="1" t="s">
        <v>58</v>
      </c>
    </row>
    <row r="251" hidden="1" spans="1:3">
      <c r="A251" s="56">
        <v>162792</v>
      </c>
      <c r="B251" s="1" t="s">
        <v>43</v>
      </c>
      <c r="C251" s="1" t="s">
        <v>65</v>
      </c>
    </row>
    <row r="252" hidden="1" spans="1:3">
      <c r="A252" s="56">
        <v>2113697</v>
      </c>
      <c r="B252" s="1" t="s">
        <v>43</v>
      </c>
      <c r="C252" s="1" t="s">
        <v>59</v>
      </c>
    </row>
    <row r="253" spans="1:3">
      <c r="A253" s="56">
        <v>22620</v>
      </c>
      <c r="B253" s="1" t="s">
        <v>43</v>
      </c>
      <c r="C253" s="1" t="s">
        <v>61</v>
      </c>
    </row>
    <row r="254" hidden="1" spans="1:3">
      <c r="A254" s="56">
        <v>2300</v>
      </c>
      <c r="B254" s="1" t="s">
        <v>43</v>
      </c>
      <c r="C254" s="1" t="s">
        <v>67</v>
      </c>
    </row>
    <row r="255" hidden="1" spans="1:3">
      <c r="A255" s="56">
        <v>533450</v>
      </c>
      <c r="B255" s="1" t="s">
        <v>43</v>
      </c>
      <c r="C255" s="1" t="s">
        <v>57</v>
      </c>
    </row>
    <row r="256" hidden="1" spans="1:3">
      <c r="A256" s="56">
        <v>614755</v>
      </c>
      <c r="B256" s="1" t="s">
        <v>43</v>
      </c>
      <c r="C256" s="1" t="s">
        <v>56</v>
      </c>
    </row>
    <row r="257" hidden="1" spans="1:3">
      <c r="A257" s="56">
        <v>14528</v>
      </c>
      <c r="B257" s="1" t="s">
        <v>43</v>
      </c>
      <c r="C257" s="1" t="s">
        <v>63</v>
      </c>
    </row>
    <row r="258" hidden="1" spans="1:3">
      <c r="A258" s="56">
        <v>119020</v>
      </c>
      <c r="B258" s="1" t="s">
        <v>43</v>
      </c>
      <c r="C258" s="1" t="s">
        <v>62</v>
      </c>
    </row>
    <row r="259" hidden="1" spans="1:3">
      <c r="A259" s="56">
        <v>3818</v>
      </c>
      <c r="B259" s="1" t="s">
        <v>43</v>
      </c>
      <c r="C259" s="1" t="s">
        <v>68</v>
      </c>
    </row>
    <row r="260" hidden="1" spans="1:3">
      <c r="A260" s="56">
        <v>1589768</v>
      </c>
      <c r="B260" s="1" t="s">
        <v>44</v>
      </c>
      <c r="C260" s="1" t="s">
        <v>58</v>
      </c>
    </row>
    <row r="261" hidden="1" spans="1:3">
      <c r="A261" s="56">
        <v>95116</v>
      </c>
      <c r="B261" s="1" t="s">
        <v>44</v>
      </c>
      <c r="C261" s="1" t="s">
        <v>65</v>
      </c>
    </row>
    <row r="262" hidden="1" spans="1:3">
      <c r="A262" s="56">
        <v>2457927</v>
      </c>
      <c r="B262" s="1" t="s">
        <v>44</v>
      </c>
      <c r="C262" s="1" t="s">
        <v>59</v>
      </c>
    </row>
    <row r="263" spans="1:3">
      <c r="A263" s="56">
        <v>140577</v>
      </c>
      <c r="B263" s="1" t="s">
        <v>44</v>
      </c>
      <c r="C263" s="1" t="s">
        <v>61</v>
      </c>
    </row>
    <row r="264" hidden="1" spans="1:3">
      <c r="A264" s="56">
        <v>0</v>
      </c>
      <c r="B264" s="1" t="s">
        <v>44</v>
      </c>
      <c r="C264" s="1" t="s">
        <v>60</v>
      </c>
    </row>
    <row r="265" hidden="1" spans="1:3">
      <c r="A265" s="56">
        <v>420710</v>
      </c>
      <c r="B265" s="1" t="s">
        <v>44</v>
      </c>
      <c r="C265" s="1" t="s">
        <v>57</v>
      </c>
    </row>
    <row r="266" hidden="1" spans="1:3">
      <c r="A266" s="56">
        <v>494855</v>
      </c>
      <c r="B266" s="1" t="s">
        <v>44</v>
      </c>
      <c r="C266" s="1" t="s">
        <v>56</v>
      </c>
    </row>
    <row r="267" hidden="1" spans="1:3">
      <c r="A267" s="56">
        <v>5793</v>
      </c>
      <c r="B267" s="1" t="s">
        <v>44</v>
      </c>
      <c r="C267" s="1" t="s">
        <v>63</v>
      </c>
    </row>
    <row r="268" hidden="1" spans="1:3">
      <c r="A268" s="56">
        <v>30331</v>
      </c>
      <c r="B268" s="1" t="s">
        <v>44</v>
      </c>
      <c r="C268" s="1" t="s">
        <v>62</v>
      </c>
    </row>
    <row r="269" hidden="1" spans="1:3">
      <c r="A269" s="56">
        <v>1347580.88</v>
      </c>
      <c r="B269" s="1" t="s">
        <v>45</v>
      </c>
      <c r="C269" s="1" t="s">
        <v>58</v>
      </c>
    </row>
    <row r="270" hidden="1" spans="1:3">
      <c r="A270" s="56">
        <v>129121</v>
      </c>
      <c r="B270" s="1" t="s">
        <v>45</v>
      </c>
      <c r="C270" s="1" t="s">
        <v>65</v>
      </c>
    </row>
    <row r="271" hidden="1" spans="1:3">
      <c r="A271" s="56">
        <v>2186900</v>
      </c>
      <c r="B271" s="1" t="s">
        <v>45</v>
      </c>
      <c r="C271" s="1" t="s">
        <v>59</v>
      </c>
    </row>
    <row r="272" spans="1:3">
      <c r="A272" s="56">
        <v>201226</v>
      </c>
      <c r="B272" s="1" t="s">
        <v>45</v>
      </c>
      <c r="C272" s="1" t="s">
        <v>61</v>
      </c>
    </row>
    <row r="273" hidden="1" spans="1:3">
      <c r="A273" s="56">
        <v>663570</v>
      </c>
      <c r="B273" s="1" t="s">
        <v>45</v>
      </c>
      <c r="C273" s="1" t="s">
        <v>57</v>
      </c>
    </row>
    <row r="274" hidden="1" spans="1:3">
      <c r="A274" s="56">
        <v>383350</v>
      </c>
      <c r="B274" s="1" t="s">
        <v>45</v>
      </c>
      <c r="C274" s="1" t="s">
        <v>56</v>
      </c>
    </row>
    <row r="275" hidden="1" spans="1:3">
      <c r="A275" s="56">
        <v>21277</v>
      </c>
      <c r="B275" s="1" t="s">
        <v>45</v>
      </c>
      <c r="C275" s="1" t="s">
        <v>62</v>
      </c>
    </row>
    <row r="276" hidden="1" spans="1:3">
      <c r="A276" s="56">
        <v>1074843.4</v>
      </c>
      <c r="B276" s="1" t="s">
        <v>46</v>
      </c>
      <c r="C276" s="1" t="s">
        <v>58</v>
      </c>
    </row>
    <row r="277" hidden="1" spans="1:3">
      <c r="A277" s="56">
        <v>100806</v>
      </c>
      <c r="B277" s="1" t="s">
        <v>46</v>
      </c>
      <c r="C277" s="1" t="s">
        <v>65</v>
      </c>
    </row>
    <row r="278" hidden="1" spans="1:3">
      <c r="A278" s="56">
        <v>638365</v>
      </c>
      <c r="B278" s="1" t="s">
        <v>46</v>
      </c>
      <c r="C278" s="1" t="s">
        <v>59</v>
      </c>
    </row>
    <row r="279" hidden="1" spans="1:3">
      <c r="A279" s="56">
        <v>1363911</v>
      </c>
      <c r="B279" s="1" t="s">
        <v>46</v>
      </c>
      <c r="C279" s="1" t="s">
        <v>69</v>
      </c>
    </row>
    <row r="280" spans="1:3">
      <c r="A280" s="56">
        <v>193224</v>
      </c>
      <c r="B280" s="1" t="s">
        <v>46</v>
      </c>
      <c r="C280" s="1" t="s">
        <v>61</v>
      </c>
    </row>
    <row r="281" hidden="1" spans="1:3">
      <c r="A281" s="56">
        <v>605280</v>
      </c>
      <c r="B281" s="1" t="s">
        <v>46</v>
      </c>
      <c r="C281" s="1" t="s">
        <v>57</v>
      </c>
    </row>
    <row r="282" hidden="1" spans="1:3">
      <c r="A282" s="56">
        <v>209010</v>
      </c>
      <c r="B282" s="1" t="s">
        <v>46</v>
      </c>
      <c r="C282" s="1" t="s">
        <v>56</v>
      </c>
    </row>
    <row r="283" hidden="1" spans="1:3">
      <c r="A283" s="56">
        <v>18158</v>
      </c>
      <c r="B283" s="1" t="s">
        <v>46</v>
      </c>
      <c r="C283" s="1" t="s">
        <v>62</v>
      </c>
    </row>
    <row r="284" hidden="1" spans="1:3">
      <c r="A284" s="56">
        <v>1866648</v>
      </c>
      <c r="B284" s="1" t="s">
        <v>47</v>
      </c>
      <c r="C284" s="1" t="s">
        <v>58</v>
      </c>
    </row>
    <row r="285" hidden="1" spans="1:3">
      <c r="A285" s="56">
        <v>112422</v>
      </c>
      <c r="B285" s="1" t="s">
        <v>47</v>
      </c>
      <c r="C285" s="1" t="s">
        <v>65</v>
      </c>
    </row>
    <row r="286" hidden="1" spans="1:3">
      <c r="A286" s="56">
        <v>2378636</v>
      </c>
      <c r="B286" s="1" t="s">
        <v>47</v>
      </c>
      <c r="C286" s="1" t="s">
        <v>69</v>
      </c>
    </row>
    <row r="287" spans="1:3">
      <c r="A287" s="56">
        <v>229285</v>
      </c>
      <c r="B287" s="1" t="s">
        <v>47</v>
      </c>
      <c r="C287" s="1" t="s">
        <v>61</v>
      </c>
    </row>
    <row r="288" hidden="1" spans="1:3">
      <c r="A288" s="56">
        <v>0</v>
      </c>
      <c r="B288" s="1" t="s">
        <v>47</v>
      </c>
      <c r="C288" s="1" t="s">
        <v>60</v>
      </c>
    </row>
    <row r="289" hidden="1" spans="1:3">
      <c r="A289" s="56">
        <v>312895</v>
      </c>
      <c r="B289" s="1" t="s">
        <v>47</v>
      </c>
      <c r="C289" s="1" t="s">
        <v>57</v>
      </c>
    </row>
    <row r="290" hidden="1" spans="1:3">
      <c r="A290" s="56">
        <v>306541</v>
      </c>
      <c r="B290" s="1" t="s">
        <v>47</v>
      </c>
      <c r="C290" s="1" t="s">
        <v>56</v>
      </c>
    </row>
    <row r="291" hidden="1" spans="1:3">
      <c r="A291" s="56">
        <v>7136</v>
      </c>
      <c r="B291" s="1" t="s">
        <v>47</v>
      </c>
      <c r="C291" s="1" t="s">
        <v>63</v>
      </c>
    </row>
    <row r="292" hidden="1" spans="1:3">
      <c r="A292" s="56">
        <v>88619</v>
      </c>
      <c r="B292" s="1" t="s">
        <v>47</v>
      </c>
      <c r="C292" s="1" t="s">
        <v>62</v>
      </c>
    </row>
    <row r="293" hidden="1" spans="1:3">
      <c r="A293" s="56">
        <v>2849160</v>
      </c>
      <c r="B293" s="1" t="s">
        <v>48</v>
      </c>
      <c r="C293" s="1" t="s">
        <v>58</v>
      </c>
    </row>
    <row r="294" hidden="1" spans="1:3">
      <c r="A294" s="56">
        <v>119486</v>
      </c>
      <c r="B294" s="1" t="s">
        <v>48</v>
      </c>
      <c r="C294" s="1" t="s">
        <v>65</v>
      </c>
    </row>
    <row r="295" hidden="1" spans="1:3">
      <c r="A295" s="56">
        <v>2335387</v>
      </c>
      <c r="B295" s="1" t="s">
        <v>48</v>
      </c>
      <c r="C295" s="1" t="s">
        <v>69</v>
      </c>
    </row>
    <row r="296" spans="1:3">
      <c r="A296" s="56">
        <v>372236</v>
      </c>
      <c r="B296" s="1" t="s">
        <v>48</v>
      </c>
      <c r="C296" s="1" t="s">
        <v>61</v>
      </c>
    </row>
    <row r="297" hidden="1" spans="1:3">
      <c r="A297" s="56">
        <v>12610</v>
      </c>
      <c r="B297" s="1" t="s">
        <v>48</v>
      </c>
      <c r="C297" s="1" t="s">
        <v>57</v>
      </c>
    </row>
    <row r="298" hidden="1" spans="1:3">
      <c r="A298" s="56">
        <v>466210</v>
      </c>
      <c r="B298" s="1" t="s">
        <v>48</v>
      </c>
      <c r="C298" s="1" t="s">
        <v>56</v>
      </c>
    </row>
    <row r="299" hidden="1" spans="1:3">
      <c r="A299" s="56">
        <v>176509</v>
      </c>
      <c r="B299" s="1" t="s">
        <v>48</v>
      </c>
      <c r="C299" s="1" t="s">
        <v>62</v>
      </c>
    </row>
    <row r="300" hidden="1" spans="1:3">
      <c r="A300" s="56">
        <v>2507437</v>
      </c>
      <c r="B300" s="1" t="s">
        <v>49</v>
      </c>
      <c r="C300" s="1" t="s">
        <v>58</v>
      </c>
    </row>
    <row r="301" hidden="1" spans="1:3">
      <c r="A301" s="56">
        <v>95908</v>
      </c>
      <c r="B301" s="1" t="s">
        <v>49</v>
      </c>
      <c r="C301" s="1" t="s">
        <v>65</v>
      </c>
    </row>
    <row r="302" hidden="1" spans="1:3">
      <c r="A302" s="56">
        <v>2045303.5</v>
      </c>
      <c r="B302" s="1" t="s">
        <v>49</v>
      </c>
      <c r="C302" s="1" t="s">
        <v>69</v>
      </c>
    </row>
    <row r="303" spans="1:3">
      <c r="A303" s="56">
        <v>241116</v>
      </c>
      <c r="B303" s="1" t="s">
        <v>49</v>
      </c>
      <c r="C303" s="1" t="s">
        <v>61</v>
      </c>
    </row>
    <row r="304" hidden="1" spans="1:3">
      <c r="A304" s="56">
        <v>0</v>
      </c>
      <c r="B304" s="1" t="s">
        <v>49</v>
      </c>
      <c r="C304" s="1" t="s">
        <v>60</v>
      </c>
    </row>
    <row r="305" hidden="1" spans="1:3">
      <c r="A305" s="56">
        <v>928316</v>
      </c>
      <c r="B305" s="1" t="s">
        <v>49</v>
      </c>
      <c r="C305" s="1" t="s">
        <v>56</v>
      </c>
    </row>
    <row r="306" hidden="1" spans="1:3">
      <c r="A306" s="56">
        <v>177582</v>
      </c>
      <c r="B306" s="1" t="s">
        <v>49</v>
      </c>
      <c r="C306" s="1" t="s">
        <v>62</v>
      </c>
    </row>
    <row r="307" hidden="1" spans="1:3">
      <c r="A307" s="56">
        <v>2210351</v>
      </c>
      <c r="B307" s="1" t="s">
        <v>50</v>
      </c>
      <c r="C307" s="1" t="s">
        <v>58</v>
      </c>
    </row>
    <row r="308" hidden="1" spans="1:3">
      <c r="A308" s="56">
        <v>129726</v>
      </c>
      <c r="B308" s="1" t="s">
        <v>50</v>
      </c>
      <c r="C308" s="1" t="s">
        <v>65</v>
      </c>
    </row>
    <row r="309" hidden="1" spans="1:3">
      <c r="A309" s="56">
        <v>1742589.5</v>
      </c>
      <c r="B309" s="1" t="s">
        <v>50</v>
      </c>
      <c r="C309" s="1" t="s">
        <v>69</v>
      </c>
    </row>
    <row r="310" spans="1:3">
      <c r="A310" s="56">
        <v>7939</v>
      </c>
      <c r="B310" s="1" t="s">
        <v>50</v>
      </c>
      <c r="C310" s="1" t="s">
        <v>61</v>
      </c>
    </row>
    <row r="311" hidden="1" spans="1:3">
      <c r="A311" s="56">
        <v>0</v>
      </c>
      <c r="B311" s="1" t="s">
        <v>50</v>
      </c>
      <c r="C311" s="1" t="s">
        <v>60</v>
      </c>
    </row>
    <row r="312" hidden="1" spans="1:3">
      <c r="A312" s="56">
        <v>1489280</v>
      </c>
      <c r="B312" s="1" t="s">
        <v>50</v>
      </c>
      <c r="C312" s="1" t="s">
        <v>56</v>
      </c>
    </row>
    <row r="313" hidden="1" spans="1:3">
      <c r="A313" s="56">
        <v>300775</v>
      </c>
      <c r="B313" s="1" t="s">
        <v>50</v>
      </c>
      <c r="C313" s="1" t="s">
        <v>62</v>
      </c>
    </row>
    <row r="314" hidden="1" spans="1:3">
      <c r="A314" s="56">
        <v>2514603</v>
      </c>
      <c r="B314" s="1" t="s">
        <v>51</v>
      </c>
      <c r="C314" s="1" t="s">
        <v>58</v>
      </c>
    </row>
    <row r="315" hidden="1" spans="1:3">
      <c r="A315" s="56">
        <v>173052</v>
      </c>
      <c r="B315" s="1" t="s">
        <v>51</v>
      </c>
      <c r="C315" s="1" t="s">
        <v>65</v>
      </c>
    </row>
    <row r="316" hidden="1" spans="1:3">
      <c r="A316" s="56">
        <v>1935404</v>
      </c>
      <c r="B316" s="1" t="s">
        <v>51</v>
      </c>
      <c r="C316" s="1" t="s">
        <v>69</v>
      </c>
    </row>
    <row r="317" spans="1:3">
      <c r="A317" s="56">
        <v>1330</v>
      </c>
      <c r="B317" s="1" t="s">
        <v>51</v>
      </c>
      <c r="C317" s="1" t="s">
        <v>61</v>
      </c>
    </row>
    <row r="318" hidden="1" spans="1:3">
      <c r="A318" s="56">
        <v>1161</v>
      </c>
      <c r="B318" s="1" t="s">
        <v>51</v>
      </c>
      <c r="C318" s="1" t="s">
        <v>60</v>
      </c>
    </row>
    <row r="319" hidden="1" spans="1:3">
      <c r="A319" s="56">
        <v>1522270</v>
      </c>
      <c r="B319" s="1" t="s">
        <v>51</v>
      </c>
      <c r="C319" s="1" t="s">
        <v>56</v>
      </c>
    </row>
    <row r="320" hidden="1" spans="1:3">
      <c r="A320" s="56">
        <v>346988</v>
      </c>
      <c r="B320" s="1" t="s">
        <v>51</v>
      </c>
      <c r="C320" s="1" t="s">
        <v>62</v>
      </c>
    </row>
    <row r="321" hidden="1" spans="1:6">
      <c r="A321" s="56">
        <v>1617039</v>
      </c>
      <c r="B321" s="1" t="s">
        <v>52</v>
      </c>
      <c r="C321" s="1" t="s">
        <v>58</v>
      </c>
    </row>
    <row r="322" hidden="1" spans="1:6">
      <c r="A322" s="56">
        <v>148821</v>
      </c>
      <c r="B322" s="1" t="s">
        <v>52</v>
      </c>
      <c r="C322" s="1" t="s">
        <v>65</v>
      </c>
    </row>
    <row r="323" hidden="1" spans="1:6">
      <c r="A323" s="56">
        <v>1640934</v>
      </c>
      <c r="B323" s="1" t="s">
        <v>52</v>
      </c>
      <c r="C323" s="1" t="s">
        <v>69</v>
      </c>
    </row>
    <row r="324" hidden="1" spans="1:6">
      <c r="A324" s="56">
        <v>1298.03</v>
      </c>
      <c r="B324" s="1" t="s">
        <v>52</v>
      </c>
      <c r="C324" s="1" t="s">
        <v>60</v>
      </c>
    </row>
    <row r="325" hidden="1" spans="1:6">
      <c r="A325" s="56">
        <v>1307400</v>
      </c>
      <c r="B325" s="1" t="s">
        <v>52</v>
      </c>
      <c r="C325" s="1" t="s">
        <v>56</v>
      </c>
    </row>
    <row r="326" hidden="1" spans="1:6">
      <c r="A326" s="56">
        <v>25843</v>
      </c>
      <c r="B326" s="1" t="s">
        <v>52</v>
      </c>
      <c r="C326" s="1" t="s">
        <v>63</v>
      </c>
    </row>
    <row r="327" hidden="1" spans="1:6">
      <c r="A327" s="56">
        <v>210887</v>
      </c>
      <c r="B327" s="1" t="s">
        <v>52</v>
      </c>
      <c r="C327" s="1" t="s">
        <v>62</v>
      </c>
    </row>
    <row r="328" hidden="1" spans="1:6">
      <c r="A328" s="56">
        <v>501229</v>
      </c>
      <c r="B328" s="1" t="s">
        <v>53</v>
      </c>
      <c r="C328" s="1" t="s">
        <v>58</v>
      </c>
      <c r="F328" t="s">
        <v>70</v>
      </c>
    </row>
    <row r="329" hidden="1" spans="1:6">
      <c r="A329" s="56">
        <v>74900</v>
      </c>
      <c r="B329" s="1" t="s">
        <v>53</v>
      </c>
      <c r="C329" s="1" t="s">
        <v>65</v>
      </c>
      <c r="F329" t="s">
        <v>70</v>
      </c>
    </row>
    <row r="330" hidden="1" spans="1:6">
      <c r="A330" s="56">
        <v>613746</v>
      </c>
      <c r="B330" s="1" t="s">
        <v>53</v>
      </c>
      <c r="C330" s="1" t="s">
        <v>69</v>
      </c>
      <c r="F330" t="s">
        <v>70</v>
      </c>
    </row>
    <row r="331" hidden="1" spans="1:6">
      <c r="A331" s="56">
        <v>419530</v>
      </c>
      <c r="B331" s="1" t="s">
        <v>53</v>
      </c>
      <c r="C331" s="1" t="s">
        <v>56</v>
      </c>
      <c r="F331" t="s">
        <v>70</v>
      </c>
    </row>
    <row r="332" hidden="1" spans="1:6">
      <c r="A332" s="56">
        <v>475</v>
      </c>
      <c r="B332" s="1" t="s">
        <v>53</v>
      </c>
      <c r="C332" s="1" t="s">
        <v>63</v>
      </c>
      <c r="F332" t="s">
        <v>70</v>
      </c>
    </row>
    <row r="333" hidden="1" spans="1:6">
      <c r="A333" s="56">
        <v>57622</v>
      </c>
      <c r="B333" s="1" t="s">
        <v>53</v>
      </c>
      <c r="C333" s="1" t="s">
        <v>62</v>
      </c>
      <c r="F333" t="s">
        <v>70</v>
      </c>
    </row>
  </sheetData>
  <autoFilter xmlns:etc="http://www.wps.cn/officeDocument/2017/etCustomData" ref="A1:C333" etc:filterBottomFollowUsedRange="0">
    <filterColumn colId="2">
      <customFilters>
        <customFilter operator="equal" val="Canara HSBC Life Insurance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D8" sqref="D2:D8"/>
    </sheetView>
  </sheetViews>
  <sheetFormatPr defaultColWidth="9.14285714285714" defaultRowHeight="14.4"/>
  <cols>
    <col min="1" max="1" width="29.5714285714286" customWidth="1"/>
    <col min="2" max="2" width="25.6428571428571" customWidth="1"/>
    <col min="3" max="3" width="27.0714285714286" customWidth="1"/>
    <col min="4" max="4" width="31.7142857142857" customWidth="1"/>
    <col min="5" max="5" width="21.4285714285714" customWidth="1"/>
    <col min="6" max="6" width="23.5" customWidth="1"/>
    <col min="8" max="8" width="16.9285714285714" customWidth="1"/>
    <col min="9" max="9" width="19.7142857142857" customWidth="1"/>
    <col min="10" max="10" width="21.7857142857143" customWidth="1"/>
    <col min="11" max="11" width="15.0714285714286"/>
    <col min="13" max="13" width="29.5714285714286" customWidth="1"/>
  </cols>
  <sheetData>
    <row r="1" ht="16.8" spans="1:7">
      <c r="A1" s="29" t="s">
        <v>55</v>
      </c>
      <c r="B1" s="29" t="s">
        <v>71</v>
      </c>
      <c r="C1" s="29" t="s">
        <v>72</v>
      </c>
      <c r="D1" s="29" t="s">
        <v>73</v>
      </c>
      <c r="E1" s="29" t="s">
        <v>74</v>
      </c>
      <c r="F1" s="29" t="s">
        <v>75</v>
      </c>
    </row>
    <row r="2" ht="16.8" spans="1:7">
      <c r="A2" s="25" t="s">
        <v>58</v>
      </c>
      <c r="B2" s="25">
        <v>814</v>
      </c>
      <c r="C2" s="29">
        <v>1617039</v>
      </c>
      <c r="D2" s="46">
        <f t="shared" ref="D2:D9" si="0">C2/B2</f>
        <v>1986.5343980344</v>
      </c>
      <c r="E2" s="25">
        <v>1866</v>
      </c>
      <c r="F2" s="47">
        <f t="shared" ref="F2:F8" si="1">B2/E2</f>
        <v>0.436227224008574</v>
      </c>
    </row>
    <row r="3" ht="16.8" spans="1:7">
      <c r="A3" s="25" t="s">
        <v>65</v>
      </c>
      <c r="B3" s="25">
        <v>61</v>
      </c>
      <c r="C3" s="29">
        <v>148821</v>
      </c>
      <c r="D3" s="46">
        <f t="shared" si="0"/>
        <v>2439.68852459016</v>
      </c>
      <c r="E3" s="25">
        <v>109</v>
      </c>
      <c r="F3" s="47">
        <f t="shared" si="1"/>
        <v>0.559633027522936</v>
      </c>
      <c r="G3">
        <v>47</v>
      </c>
    </row>
    <row r="4" ht="16.8" spans="1:7">
      <c r="A4" s="25" t="s">
        <v>69</v>
      </c>
      <c r="B4" s="25">
        <v>781</v>
      </c>
      <c r="C4" s="29">
        <v>1640934</v>
      </c>
      <c r="D4" s="46">
        <f t="shared" si="0"/>
        <v>2101.06786171575</v>
      </c>
      <c r="E4" s="25">
        <v>909</v>
      </c>
      <c r="F4" s="47">
        <f t="shared" si="1"/>
        <v>0.859185918591859</v>
      </c>
    </row>
    <row r="5" ht="16.8" spans="1:7">
      <c r="A5" s="25" t="s">
        <v>60</v>
      </c>
      <c r="B5" s="25">
        <v>1</v>
      </c>
      <c r="C5" s="29">
        <v>1298.03</v>
      </c>
      <c r="D5" s="46">
        <f t="shared" si="0"/>
        <v>1298.03</v>
      </c>
      <c r="E5" s="25">
        <v>1</v>
      </c>
      <c r="F5" s="47">
        <f t="shared" si="1"/>
        <v>1</v>
      </c>
    </row>
    <row r="6" ht="16.8" spans="1:7">
      <c r="A6" s="25" t="s">
        <v>56</v>
      </c>
      <c r="B6" s="25">
        <v>577</v>
      </c>
      <c r="C6" s="29">
        <v>1307400</v>
      </c>
      <c r="D6" s="46">
        <f t="shared" si="0"/>
        <v>2265.85788561525</v>
      </c>
      <c r="E6" s="25">
        <v>742</v>
      </c>
      <c r="F6" s="47">
        <f t="shared" si="1"/>
        <v>0.777628032345013</v>
      </c>
    </row>
    <row r="7" ht="16.8" spans="1:7">
      <c r="A7" s="25" t="s">
        <v>63</v>
      </c>
      <c r="B7" s="25">
        <v>21</v>
      </c>
      <c r="C7" s="29">
        <v>25843</v>
      </c>
      <c r="D7" s="46">
        <f t="shared" si="0"/>
        <v>1230.61904761905</v>
      </c>
      <c r="E7" s="25">
        <v>69</v>
      </c>
      <c r="F7" s="47">
        <f t="shared" si="1"/>
        <v>0.304347826086957</v>
      </c>
    </row>
    <row r="8" ht="16.8" spans="1:7">
      <c r="A8" s="25" t="s">
        <v>62</v>
      </c>
      <c r="B8" s="25">
        <v>87</v>
      </c>
      <c r="C8" s="29">
        <v>210887</v>
      </c>
      <c r="D8" s="46">
        <f t="shared" si="0"/>
        <v>2423.98850574713</v>
      </c>
      <c r="E8" s="25">
        <v>172</v>
      </c>
      <c r="F8" s="47">
        <f t="shared" si="1"/>
        <v>0.505813953488372</v>
      </c>
    </row>
    <row r="9" ht="16.8" spans="1:7">
      <c r="A9" s="48"/>
      <c r="B9" s="48">
        <f>SUM(B2:B8)</f>
        <v>2342</v>
      </c>
      <c r="C9" s="48">
        <f>SUM(C2:C8)</f>
        <v>4952222.03</v>
      </c>
      <c r="D9" s="49">
        <f t="shared" si="0"/>
        <v>2114.52691289496</v>
      </c>
      <c r="E9" s="50"/>
      <c r="F9" s="51"/>
    </row>
    <row r="11" spans="1:7">
      <c r="A11" s="4" t="s">
        <v>76</v>
      </c>
      <c r="B11" s="12"/>
      <c r="C11" s="12"/>
      <c r="D11" s="12"/>
    </row>
    <row r="12" spans="1:7">
      <c r="A12" s="12"/>
      <c r="B12" s="12"/>
      <c r="C12" s="12"/>
      <c r="D12" s="12" t="s">
        <v>77</v>
      </c>
    </row>
    <row r="13" ht="15" spans="1:7">
      <c r="A13" s="40" t="s">
        <v>78</v>
      </c>
      <c r="B13" s="40" t="s">
        <v>79</v>
      </c>
      <c r="C13" s="40" t="s">
        <v>80</v>
      </c>
      <c r="D13" s="40" t="s">
        <v>81</v>
      </c>
    </row>
    <row r="14" ht="15" spans="1:7">
      <c r="A14" s="41">
        <v>46113</v>
      </c>
      <c r="B14" s="42" t="s">
        <v>82</v>
      </c>
      <c r="C14" s="43" t="s">
        <v>83</v>
      </c>
      <c r="D14" s="42" t="s">
        <v>84</v>
      </c>
    </row>
    <row r="15" ht="29" spans="1:7">
      <c r="A15" s="41">
        <v>46143</v>
      </c>
      <c r="B15" s="42" t="s">
        <v>85</v>
      </c>
      <c r="C15" s="43" t="s">
        <v>86</v>
      </c>
      <c r="D15" s="42" t="s">
        <v>87</v>
      </c>
    </row>
    <row r="16" ht="15" spans="1:7">
      <c r="A16" s="41">
        <v>46174</v>
      </c>
      <c r="B16" s="42" t="s">
        <v>88</v>
      </c>
      <c r="C16" s="43" t="s">
        <v>89</v>
      </c>
      <c r="D16" s="42" t="s">
        <v>90</v>
      </c>
    </row>
    <row r="17" ht="15" spans="1:13">
      <c r="A17" s="43" t="s">
        <v>91</v>
      </c>
      <c r="B17" s="43" t="s">
        <v>92</v>
      </c>
      <c r="C17" s="43" t="s">
        <v>93</v>
      </c>
      <c r="D17" s="44">
        <f>49.5+'Apr 2026'!D29</f>
        <v>66.14475</v>
      </c>
    </row>
    <row r="20" spans="1:13">
      <c r="A20" s="12"/>
      <c r="B20" s="12" t="s">
        <v>94</v>
      </c>
      <c r="C20" s="12" t="s">
        <v>95</v>
      </c>
      <c r="D20" s="12" t="s">
        <v>96</v>
      </c>
      <c r="E20" s="12" t="s">
        <v>97</v>
      </c>
      <c r="F20" s="12" t="s">
        <v>98</v>
      </c>
      <c r="J20" t="s">
        <v>99</v>
      </c>
      <c r="K20" t="s">
        <v>100</v>
      </c>
    </row>
    <row r="21" spans="1:13">
      <c r="A21" s="12"/>
      <c r="B21" s="12"/>
      <c r="C21" s="52">
        <v>46143</v>
      </c>
      <c r="D21" s="53">
        <f ca="1">TODAY()-1</f>
        <v>46155</v>
      </c>
      <c r="E21" s="52">
        <v>46143</v>
      </c>
      <c r="F21" s="52">
        <v>46174</v>
      </c>
    </row>
    <row r="22" spans="1:13">
      <c r="A22" s="25" t="s">
        <v>58</v>
      </c>
      <c r="B22" s="12">
        <v>16.1</v>
      </c>
      <c r="C22" s="12">
        <v>18</v>
      </c>
      <c r="D22" s="12">
        <v>5.01</v>
      </c>
      <c r="E22" s="12">
        <v>18</v>
      </c>
      <c r="F22" s="12">
        <v>27</v>
      </c>
      <c r="H22">
        <v>0</v>
      </c>
      <c r="I22">
        <v>0</v>
      </c>
      <c r="J22">
        <f t="shared" ref="J22:J28" si="2">I22/D2</f>
        <v>0</v>
      </c>
      <c r="M22" s="25" t="s">
        <v>58</v>
      </c>
    </row>
    <row r="23" spans="1:13">
      <c r="A23" s="25" t="s">
        <v>65</v>
      </c>
      <c r="B23" s="12">
        <v>1.48</v>
      </c>
      <c r="C23" s="12">
        <v>2.2</v>
      </c>
      <c r="D23" s="12">
        <v>0.74</v>
      </c>
      <c r="E23" s="12">
        <v>1.5</v>
      </c>
      <c r="F23" s="12">
        <v>2</v>
      </c>
      <c r="H23">
        <v>1</v>
      </c>
      <c r="I23">
        <f t="shared" ref="I23:I28" si="3">H23*100000</f>
        <v>100000</v>
      </c>
      <c r="J23" s="24">
        <f t="shared" si="2"/>
        <v>40.988838940741</v>
      </c>
      <c r="K23" s="24">
        <f t="shared" ref="K23:K28" si="4">J23/0.65</f>
        <v>63.0597522165245</v>
      </c>
      <c r="M23" s="25" t="s">
        <v>65</v>
      </c>
    </row>
    <row r="24" spans="1:13">
      <c r="A24" s="25" t="s">
        <v>69</v>
      </c>
      <c r="B24" s="12">
        <v>16.4</v>
      </c>
      <c r="C24" s="12">
        <v>24.6</v>
      </c>
      <c r="D24" s="12">
        <v>6.13</v>
      </c>
      <c r="E24" s="12">
        <f>18+2.8</f>
        <v>20.8</v>
      </c>
      <c r="F24" s="12">
        <f>18+10+3.5</f>
        <v>31.5</v>
      </c>
      <c r="H24">
        <f>10</f>
        <v>10</v>
      </c>
      <c r="I24">
        <f t="shared" si="3"/>
        <v>1000000</v>
      </c>
      <c r="J24" s="24">
        <f t="shared" si="2"/>
        <v>475.948453746464</v>
      </c>
      <c r="K24" s="24">
        <f t="shared" si="4"/>
        <v>732.228390379175</v>
      </c>
      <c r="M24" s="25" t="s">
        <v>69</v>
      </c>
    </row>
    <row r="25" spans="1:13">
      <c r="A25" s="25" t="s">
        <v>56</v>
      </c>
      <c r="B25" s="12">
        <v>13</v>
      </c>
      <c r="C25" s="12">
        <v>19.6</v>
      </c>
      <c r="D25" s="12">
        <v>4.19</v>
      </c>
      <c r="E25" s="12">
        <v>14</v>
      </c>
      <c r="F25" s="12">
        <v>15</v>
      </c>
      <c r="H25">
        <v>4</v>
      </c>
      <c r="I25">
        <f t="shared" si="3"/>
        <v>400000</v>
      </c>
      <c r="J25" s="24">
        <f t="shared" si="2"/>
        <v>308.159287535727</v>
      </c>
      <c r="K25" s="24">
        <f t="shared" si="4"/>
        <v>474.091211593426</v>
      </c>
      <c r="M25" s="25" t="s">
        <v>56</v>
      </c>
    </row>
    <row r="26" spans="1:13">
      <c r="A26" s="25" t="s">
        <v>101</v>
      </c>
      <c r="B26" s="12">
        <v>0</v>
      </c>
      <c r="C26" s="12">
        <v>0</v>
      </c>
      <c r="D26" s="12">
        <v>0</v>
      </c>
      <c r="E26" s="12">
        <v>0</v>
      </c>
      <c r="F26" s="12">
        <v>5</v>
      </c>
      <c r="H26">
        <v>5</v>
      </c>
      <c r="I26">
        <f t="shared" si="3"/>
        <v>500000</v>
      </c>
      <c r="J26" s="24">
        <f t="shared" si="2"/>
        <v>220.666972617409</v>
      </c>
      <c r="K26" s="24">
        <f t="shared" si="4"/>
        <v>339.487650180629</v>
      </c>
      <c r="M26" s="25" t="s">
        <v>101</v>
      </c>
    </row>
    <row r="27" spans="1:13">
      <c r="A27" s="25" t="s">
        <v>63</v>
      </c>
      <c r="B27" s="12">
        <v>0.25</v>
      </c>
      <c r="C27" s="12">
        <v>0.4</v>
      </c>
      <c r="D27" s="12">
        <f>0.00475</f>
        <v>0.00475</v>
      </c>
      <c r="E27" s="12">
        <v>0.5</v>
      </c>
      <c r="F27" s="12">
        <v>1</v>
      </c>
      <c r="H27">
        <v>1</v>
      </c>
      <c r="I27">
        <f t="shared" si="3"/>
        <v>100000</v>
      </c>
      <c r="J27" s="24">
        <f t="shared" si="2"/>
        <v>81.2599156444684</v>
      </c>
      <c r="K27" s="24">
        <f t="shared" si="4"/>
        <v>125.015254837644</v>
      </c>
      <c r="M27" s="25" t="s">
        <v>63</v>
      </c>
    </row>
    <row r="28" spans="1:13">
      <c r="A28" s="25" t="s">
        <v>62</v>
      </c>
      <c r="B28" s="12">
        <v>2.1</v>
      </c>
      <c r="C28" s="12">
        <v>3.2</v>
      </c>
      <c r="D28" s="12">
        <v>0.57</v>
      </c>
      <c r="E28" s="12">
        <v>3</v>
      </c>
      <c r="F28" s="12">
        <v>8</v>
      </c>
      <c r="H28">
        <v>7</v>
      </c>
      <c r="I28">
        <f t="shared" si="3"/>
        <v>700000</v>
      </c>
      <c r="J28" s="24">
        <f t="shared" si="2"/>
        <v>288.780247241413</v>
      </c>
      <c r="K28" s="24">
        <f t="shared" si="4"/>
        <v>444.277303448328</v>
      </c>
      <c r="M28" s="25" t="s">
        <v>62</v>
      </c>
    </row>
    <row r="29" spans="1:13">
      <c r="A29" s="12"/>
      <c r="B29" s="4">
        <f>SUM(B22:B28)</f>
        <v>49.33</v>
      </c>
      <c r="C29" s="4">
        <f t="shared" ref="C29:I29" si="5">SUM(C22:C28)</f>
        <v>68</v>
      </c>
      <c r="D29" s="54">
        <f t="shared" si="5"/>
        <v>16.64475</v>
      </c>
      <c r="E29" s="54">
        <f t="shared" si="5"/>
        <v>57.8</v>
      </c>
      <c r="F29" s="54">
        <f t="shared" si="5"/>
        <v>89.5</v>
      </c>
      <c r="H29" s="54">
        <f t="shared" si="5"/>
        <v>28</v>
      </c>
      <c r="I29" s="54">
        <f t="shared" si="5"/>
        <v>2800000</v>
      </c>
    </row>
    <row r="30" spans="1:13">
      <c r="H30" t="s">
        <v>102</v>
      </c>
      <c r="I30">
        <f>280000+350000</f>
        <v>630000</v>
      </c>
    </row>
    <row r="31" spans="1:13">
      <c r="F31">
        <f>F29+E29+B29</f>
        <v>196.63</v>
      </c>
    </row>
    <row r="32" spans="1:13">
      <c r="H32" t="s">
        <v>103</v>
      </c>
      <c r="I32">
        <f>J32*200</f>
        <v>200000</v>
      </c>
      <c r="J32">
        <v>1000</v>
      </c>
    </row>
    <row r="33" ht="15" spans="1:10">
      <c r="A33" s="37" t="s">
        <v>104</v>
      </c>
      <c r="B33" s="37" t="s">
        <v>105</v>
      </c>
      <c r="C33" t="s">
        <v>106</v>
      </c>
      <c r="F33" s="55"/>
      <c r="H33" t="s">
        <v>107</v>
      </c>
      <c r="I33">
        <f>J33*35</f>
        <v>350000</v>
      </c>
      <c r="J33">
        <v>10000</v>
      </c>
    </row>
    <row r="34" ht="15" spans="1:10">
      <c r="A34" s="38" t="s">
        <v>108</v>
      </c>
      <c r="B34" s="38" t="s">
        <v>109</v>
      </c>
      <c r="C34" s="39">
        <v>46162</v>
      </c>
      <c r="D34" t="s">
        <v>110</v>
      </c>
    </row>
    <row r="35" ht="29" spans="1:10">
      <c r="A35" s="38" t="s">
        <v>111</v>
      </c>
      <c r="B35" s="38" t="s">
        <v>112</v>
      </c>
      <c r="D35" t="s">
        <v>113</v>
      </c>
    </row>
    <row r="36" ht="15" spans="1:10">
      <c r="A36" s="38" t="s">
        <v>114</v>
      </c>
      <c r="B36" s="38" t="s">
        <v>115</v>
      </c>
      <c r="D36" t="s">
        <v>116</v>
      </c>
    </row>
    <row r="37" ht="15" spans="1:10">
      <c r="A37" s="38" t="s">
        <v>117</v>
      </c>
      <c r="B37" s="38" t="s">
        <v>118</v>
      </c>
      <c r="D37" t="s">
        <v>119</v>
      </c>
    </row>
    <row r="38" ht="15" spans="1:10">
      <c r="A38" s="38" t="s">
        <v>120</v>
      </c>
      <c r="B38" s="38" t="s">
        <v>115</v>
      </c>
      <c r="D38" t="s">
        <v>121</v>
      </c>
    </row>
    <row r="39" ht="15" spans="1:10">
      <c r="A39" s="38" t="s">
        <v>122</v>
      </c>
      <c r="B39" s="38" t="s">
        <v>123</v>
      </c>
      <c r="D39" t="s">
        <v>124</v>
      </c>
    </row>
    <row r="40" ht="15" spans="1:10">
      <c r="A40" s="45" t="s">
        <v>125</v>
      </c>
      <c r="B40" s="45" t="s">
        <v>126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H1" sqref="H1:L8"/>
    </sheetView>
  </sheetViews>
  <sheetFormatPr defaultColWidth="9.14285714285714" defaultRowHeight="14.4" outlineLevelRow="7"/>
  <cols>
    <col min="4" max="4" width="34.6696428571429" customWidth="1"/>
    <col min="8" max="8" width="23.6517857142857" customWidth="1"/>
    <col min="9" max="9" width="20.6785714285714" customWidth="1"/>
    <col min="11" max="11" width="16.1428571428571" customWidth="1"/>
  </cols>
  <sheetData>
    <row r="1" ht="15" spans="1:12">
      <c r="A1" s="4" t="s">
        <v>76</v>
      </c>
      <c r="B1" s="12"/>
      <c r="C1" s="12"/>
      <c r="D1" s="12"/>
      <c r="H1" s="37" t="s">
        <v>104</v>
      </c>
      <c r="I1" s="37" t="s">
        <v>105</v>
      </c>
      <c r="J1" t="s">
        <v>106</v>
      </c>
      <c r="L1" t="s">
        <v>127</v>
      </c>
    </row>
    <row r="2" ht="29" spans="1:12">
      <c r="A2" s="12"/>
      <c r="B2" s="12"/>
      <c r="C2" s="12"/>
      <c r="D2" s="12" t="s">
        <v>77</v>
      </c>
      <c r="H2" s="38" t="s">
        <v>108</v>
      </c>
      <c r="I2" s="38" t="s">
        <v>109</v>
      </c>
      <c r="J2" s="39">
        <v>46162</v>
      </c>
      <c r="K2" t="s">
        <v>110</v>
      </c>
      <c r="L2">
        <v>5</v>
      </c>
    </row>
    <row r="3" ht="44" spans="1:12">
      <c r="A3" s="40" t="s">
        <v>78</v>
      </c>
      <c r="B3" s="40" t="s">
        <v>79</v>
      </c>
      <c r="C3" s="40" t="s">
        <v>80</v>
      </c>
      <c r="D3" s="40" t="s">
        <v>81</v>
      </c>
      <c r="H3" s="38" t="s">
        <v>128</v>
      </c>
      <c r="I3" s="38" t="s">
        <v>112</v>
      </c>
      <c r="K3" t="s">
        <v>113</v>
      </c>
      <c r="L3">
        <v>20</v>
      </c>
    </row>
    <row r="4" ht="15" spans="1:12">
      <c r="A4" s="41">
        <v>46113</v>
      </c>
      <c r="B4" s="42" t="s">
        <v>82</v>
      </c>
      <c r="C4" s="43" t="s">
        <v>83</v>
      </c>
      <c r="D4" s="42" t="s">
        <v>84</v>
      </c>
      <c r="H4" s="38" t="s">
        <v>114</v>
      </c>
      <c r="I4" s="38" t="s">
        <v>115</v>
      </c>
      <c r="K4" t="s">
        <v>116</v>
      </c>
      <c r="L4">
        <v>2</v>
      </c>
    </row>
    <row r="5" ht="29" spans="1:12">
      <c r="A5" s="41">
        <v>46143</v>
      </c>
      <c r="B5" s="42" t="s">
        <v>85</v>
      </c>
      <c r="C5" s="43" t="s">
        <v>86</v>
      </c>
      <c r="D5" s="42" t="s">
        <v>87</v>
      </c>
      <c r="H5" s="38" t="s">
        <v>117</v>
      </c>
      <c r="I5" s="38" t="s">
        <v>118</v>
      </c>
      <c r="K5" t="s">
        <v>119</v>
      </c>
      <c r="L5">
        <v>8</v>
      </c>
    </row>
    <row r="6" ht="29" spans="1:12">
      <c r="A6" s="41">
        <v>46174</v>
      </c>
      <c r="B6" s="42" t="s">
        <v>88</v>
      </c>
      <c r="C6" s="43" t="s">
        <v>89</v>
      </c>
      <c r="D6" s="42" t="s">
        <v>90</v>
      </c>
      <c r="H6" s="38" t="s">
        <v>120</v>
      </c>
      <c r="I6" s="38" t="s">
        <v>115</v>
      </c>
      <c r="K6" t="s">
        <v>121</v>
      </c>
      <c r="L6">
        <v>6</v>
      </c>
    </row>
    <row r="7" ht="15" spans="1:12">
      <c r="A7" s="43" t="s">
        <v>91</v>
      </c>
      <c r="B7" s="43" t="s">
        <v>92</v>
      </c>
      <c r="C7" s="43" t="s">
        <v>93</v>
      </c>
      <c r="D7" s="44">
        <f>49.5+'Apr 2026'!D29</f>
        <v>66.14475</v>
      </c>
      <c r="E7" t="s">
        <v>129</v>
      </c>
      <c r="H7" s="38" t="s">
        <v>122</v>
      </c>
      <c r="I7" s="38" t="s">
        <v>123</v>
      </c>
      <c r="L7">
        <v>2</v>
      </c>
    </row>
    <row r="8" ht="15" spans="1:12">
      <c r="H8" s="45" t="s">
        <v>125</v>
      </c>
      <c r="I8" s="45" t="s">
        <v>126</v>
      </c>
      <c r="L8">
        <v>2.8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tabSelected="1" workbookViewId="0">
      <selection activeCell="F37" sqref="F37"/>
    </sheetView>
  </sheetViews>
  <sheetFormatPr defaultColWidth="9.14285714285714" defaultRowHeight="14.4"/>
  <cols>
    <col min="1" max="1" width="33.8571428571429" customWidth="1"/>
    <col min="2" max="2" width="21.4285714285714" customWidth="1"/>
    <col min="3" max="3" width="25.6428571428571" customWidth="1"/>
    <col min="4" max="4" width="26.3571428571429" customWidth="1"/>
    <col min="5" max="5" width="24.2142857142857" customWidth="1"/>
    <col min="6" max="6" width="24.8571428571429" customWidth="1"/>
    <col min="7" max="7" width="35.3571428571429" customWidth="1"/>
    <col min="8" max="8" width="26.6428571428571" customWidth="1"/>
    <col min="9" max="9" width="24.4285714285714" customWidth="1"/>
    <col min="10" max="10" width="13.6428571428571" customWidth="1"/>
    <col min="11" max="11" width="13" customWidth="1"/>
    <col min="12" max="12" width="13.7142857142857" customWidth="1"/>
    <col min="13" max="13" width="13.5714285714286" customWidth="1"/>
  </cols>
  <sheetData>
    <row r="1" ht="15" spans="1:7">
      <c r="A1" s="3" t="s">
        <v>55</v>
      </c>
      <c r="B1" s="3" t="s">
        <v>130</v>
      </c>
      <c r="C1" s="4" t="s">
        <v>131</v>
      </c>
      <c r="D1" s="4" t="s">
        <v>132</v>
      </c>
      <c r="E1" s="3" t="s">
        <v>133</v>
      </c>
      <c r="F1" s="3" t="s">
        <v>134</v>
      </c>
      <c r="G1" s="3" t="s">
        <v>135</v>
      </c>
    </row>
    <row r="2" spans="1:7">
      <c r="A2" s="5" t="s">
        <v>136</v>
      </c>
      <c r="B2" s="6">
        <v>182961</v>
      </c>
      <c r="C2" s="7">
        <v>0.9</v>
      </c>
      <c r="D2" s="8">
        <f>C2*B2</f>
        <v>164664.9</v>
      </c>
      <c r="E2" s="9">
        <f>B2/E40</f>
        <v>92.1005949763734</v>
      </c>
      <c r="F2" s="8">
        <f t="shared" ref="F2:F7" si="0">E2/D40</f>
        <v>211.129865142399</v>
      </c>
    </row>
    <row r="3" spans="1:7">
      <c r="A3" s="5" t="s">
        <v>137</v>
      </c>
      <c r="B3" s="6">
        <v>100000</v>
      </c>
      <c r="C3" s="10">
        <v>0.5</v>
      </c>
      <c r="D3" s="8">
        <f>C3*B3</f>
        <v>50000</v>
      </c>
      <c r="E3" s="9">
        <f>B3/E41</f>
        <v>40.988838940741</v>
      </c>
      <c r="F3" s="8">
        <f t="shared" si="0"/>
        <v>73.2423515498486</v>
      </c>
      <c r="G3" t="s">
        <v>138</v>
      </c>
    </row>
    <row r="4" spans="1:7">
      <c r="A4" s="5" t="s">
        <v>139</v>
      </c>
      <c r="B4" s="6">
        <v>400000</v>
      </c>
      <c r="C4" s="10">
        <v>0.9</v>
      </c>
      <c r="D4" s="8">
        <f>C4*B4</f>
        <v>360000</v>
      </c>
      <c r="E4" s="9">
        <f>B4/E42</f>
        <v>190.379381498585</v>
      </c>
      <c r="F4" s="8">
        <f t="shared" si="0"/>
        <v>221.581123920889</v>
      </c>
      <c r="G4" t="s">
        <v>140</v>
      </c>
    </row>
    <row r="5" spans="1:7">
      <c r="A5" s="5" t="s">
        <v>141</v>
      </c>
      <c r="B5" s="6">
        <v>50000</v>
      </c>
      <c r="C5" s="10">
        <v>0.5</v>
      </c>
      <c r="D5" s="8">
        <f>C5*B5</f>
        <v>25000</v>
      </c>
      <c r="E5" s="9">
        <f>B5/E43</f>
        <v>28.3446712018141</v>
      </c>
      <c r="F5" s="8">
        <f t="shared" si="0"/>
        <v>70.8616780045351</v>
      </c>
      <c r="G5" t="s">
        <v>142</v>
      </c>
    </row>
    <row r="6" spans="1:7">
      <c r="A6" s="5" t="s">
        <v>143</v>
      </c>
      <c r="B6" s="6">
        <v>100000</v>
      </c>
      <c r="C6" s="10">
        <v>0.5</v>
      </c>
      <c r="D6" s="8">
        <f>C6*B6</f>
        <v>50000</v>
      </c>
      <c r="E6" s="9">
        <f>B6/E44</f>
        <v>44.1306266548985</v>
      </c>
      <c r="F6" s="8">
        <f t="shared" si="0"/>
        <v>56.7503032546529</v>
      </c>
      <c r="G6" t="s">
        <v>144</v>
      </c>
    </row>
    <row r="7" spans="1:7">
      <c r="A7" s="5" t="s">
        <v>145</v>
      </c>
      <c r="B7" s="6">
        <v>50000</v>
      </c>
      <c r="C7" s="10">
        <v>0.5</v>
      </c>
      <c r="D7" s="8">
        <f t="shared" ref="D7:D18" si="1">C7*B7</f>
        <v>25000</v>
      </c>
      <c r="E7" s="9">
        <f>B7/E55</f>
        <v>40.6299578222342</v>
      </c>
      <c r="F7" s="8">
        <f t="shared" si="0"/>
        <v>133.498432844484</v>
      </c>
      <c r="G7" t="s">
        <v>146</v>
      </c>
    </row>
    <row r="8" spans="1:7">
      <c r="A8" s="5" t="s">
        <v>147</v>
      </c>
      <c r="B8" s="6">
        <v>300000</v>
      </c>
      <c r="C8" s="10">
        <v>0.8</v>
      </c>
      <c r="D8" s="8">
        <f t="shared" si="1"/>
        <v>240000</v>
      </c>
      <c r="E8" s="9">
        <v>288.780247241413</v>
      </c>
      <c r="F8" s="8">
        <v>444.277303448328</v>
      </c>
      <c r="G8" t="s">
        <v>148</v>
      </c>
    </row>
    <row r="9" spans="1:7">
      <c r="A9" s="11" t="s">
        <v>149</v>
      </c>
      <c r="B9" s="6">
        <v>280000</v>
      </c>
      <c r="C9" s="10">
        <v>0.9</v>
      </c>
      <c r="D9" s="8">
        <f t="shared" si="1"/>
        <v>252000</v>
      </c>
      <c r="E9" s="11">
        <v>0</v>
      </c>
      <c r="F9" s="11">
        <v>0</v>
      </c>
      <c r="G9" t="s">
        <v>150</v>
      </c>
    </row>
    <row r="10" spans="1:7">
      <c r="A10" s="5" t="s">
        <v>151</v>
      </c>
      <c r="B10" s="6">
        <v>1082961</v>
      </c>
      <c r="C10" s="7">
        <v>0.9</v>
      </c>
      <c r="D10" s="8">
        <f t="shared" si="1"/>
        <v>974664.9</v>
      </c>
      <c r="E10" s="9">
        <f t="shared" ref="E10:E16" si="2">B10/E40</f>
        <v>545.15089246456</v>
      </c>
      <c r="F10" s="8">
        <f t="shared" ref="F10:F16" si="3">E10/D40</f>
        <v>1249.6947977136</v>
      </c>
    </row>
    <row r="11" spans="1:7">
      <c r="A11" s="5" t="s">
        <v>152</v>
      </c>
      <c r="B11" s="6">
        <v>100000</v>
      </c>
      <c r="C11" s="10">
        <v>0.5</v>
      </c>
      <c r="D11" s="8">
        <f t="shared" si="1"/>
        <v>50000</v>
      </c>
      <c r="E11" s="9">
        <f t="shared" si="2"/>
        <v>40.988838940741</v>
      </c>
      <c r="F11" s="8">
        <f t="shared" si="3"/>
        <v>73.2423515498486</v>
      </c>
    </row>
    <row r="12" spans="1:7">
      <c r="A12" s="5" t="s">
        <v>153</v>
      </c>
      <c r="B12" s="6">
        <v>600000</v>
      </c>
      <c r="C12" s="10">
        <v>0.9</v>
      </c>
      <c r="D12" s="8">
        <f t="shared" si="1"/>
        <v>540000</v>
      </c>
      <c r="E12" s="9">
        <f t="shared" si="2"/>
        <v>285.569072247878</v>
      </c>
      <c r="F12" s="8">
        <f t="shared" si="3"/>
        <v>332.371685881333</v>
      </c>
    </row>
    <row r="13" spans="1:7">
      <c r="A13" s="5" t="s">
        <v>154</v>
      </c>
      <c r="B13" s="6">
        <v>500000</v>
      </c>
      <c r="C13" s="10">
        <v>0.8</v>
      </c>
      <c r="D13" s="8">
        <f t="shared" si="1"/>
        <v>400000</v>
      </c>
      <c r="E13" s="9">
        <f t="shared" si="2"/>
        <v>283.446712018141</v>
      </c>
      <c r="F13" s="8">
        <f t="shared" si="3"/>
        <v>708.616780045351</v>
      </c>
    </row>
    <row r="14" spans="1:7">
      <c r="A14" s="5" t="s">
        <v>155</v>
      </c>
      <c r="B14" s="6">
        <v>200000</v>
      </c>
      <c r="C14" s="10">
        <v>0.5</v>
      </c>
      <c r="D14" s="8">
        <f t="shared" si="1"/>
        <v>100000</v>
      </c>
      <c r="E14" s="9">
        <f t="shared" si="2"/>
        <v>88.261253309797</v>
      </c>
      <c r="F14" s="8">
        <f t="shared" si="3"/>
        <v>113.500606509306</v>
      </c>
    </row>
    <row r="15" spans="1:7">
      <c r="A15" s="5" t="s">
        <v>156</v>
      </c>
      <c r="B15" s="6">
        <v>100000</v>
      </c>
      <c r="C15" s="10">
        <v>0.8</v>
      </c>
      <c r="D15" s="8">
        <f t="shared" si="1"/>
        <v>80000</v>
      </c>
      <c r="E15" s="9">
        <f t="shared" si="2"/>
        <v>81.2347684809098</v>
      </c>
      <c r="F15" s="8">
        <f t="shared" si="3"/>
        <v>266.914239294418</v>
      </c>
    </row>
    <row r="16" spans="1:7">
      <c r="A16" s="5" t="s">
        <v>157</v>
      </c>
      <c r="B16" s="6">
        <v>400000</v>
      </c>
      <c r="C16" s="10">
        <v>0.8</v>
      </c>
      <c r="D16" s="8">
        <f t="shared" si="1"/>
        <v>320000</v>
      </c>
      <c r="E16" s="9">
        <f t="shared" si="2"/>
        <v>165.016501650165</v>
      </c>
      <c r="F16" s="8">
        <f t="shared" si="3"/>
        <v>326.239520503775</v>
      </c>
    </row>
    <row r="17" spans="1:7">
      <c r="A17" s="12" t="s">
        <v>158</v>
      </c>
      <c r="B17" s="13">
        <v>200000</v>
      </c>
      <c r="C17" s="14">
        <v>0.2</v>
      </c>
      <c r="D17" s="15">
        <f t="shared" si="1"/>
        <v>40000</v>
      </c>
      <c r="E17" s="16">
        <v>0</v>
      </c>
      <c r="F17" s="12">
        <v>0</v>
      </c>
      <c r="G17" s="17"/>
    </row>
    <row r="18" spans="1:7">
      <c r="A18" s="12" t="s">
        <v>159</v>
      </c>
      <c r="B18" s="13">
        <v>280000</v>
      </c>
      <c r="C18" s="14">
        <v>0.6</v>
      </c>
      <c r="D18" s="15">
        <f t="shared" si="1"/>
        <v>168000</v>
      </c>
      <c r="E18" s="16">
        <v>0</v>
      </c>
      <c r="F18" s="12">
        <v>0</v>
      </c>
      <c r="G18" s="18"/>
    </row>
    <row r="19" spans="1:7">
      <c r="A19" s="12" t="s">
        <v>160</v>
      </c>
      <c r="B19" s="13">
        <v>350000</v>
      </c>
      <c r="C19" s="14">
        <v>0.6</v>
      </c>
      <c r="D19" s="15">
        <f t="shared" ref="D19:D25" si="4">C19*B19</f>
        <v>210000</v>
      </c>
      <c r="E19" s="16">
        <v>0</v>
      </c>
      <c r="F19" s="12">
        <v>0</v>
      </c>
    </row>
    <row r="20" spans="1:7">
      <c r="A20" s="12" t="s">
        <v>161</v>
      </c>
      <c r="B20" s="13">
        <v>350000</v>
      </c>
      <c r="C20" s="14">
        <v>0.9</v>
      </c>
      <c r="D20" s="15">
        <f t="shared" si="4"/>
        <v>315000</v>
      </c>
      <c r="E20" s="16">
        <v>0</v>
      </c>
      <c r="F20" s="12">
        <v>0</v>
      </c>
    </row>
    <row r="21" spans="1:7">
      <c r="A21" s="12" t="s">
        <v>162</v>
      </c>
      <c r="B21" s="12">
        <v>48000</v>
      </c>
      <c r="C21" s="14">
        <v>1</v>
      </c>
      <c r="D21" s="15">
        <f t="shared" si="4"/>
        <v>48000</v>
      </c>
      <c r="E21" s="16">
        <v>0</v>
      </c>
      <c r="F21" s="12">
        <v>0</v>
      </c>
    </row>
    <row r="22" spans="1:7">
      <c r="A22" s="12" t="s">
        <v>163</v>
      </c>
      <c r="B22" s="12">
        <f>20*2500*3</f>
        <v>150000</v>
      </c>
      <c r="C22" s="14">
        <v>0.5</v>
      </c>
      <c r="D22" s="15">
        <f t="shared" si="4"/>
        <v>75000</v>
      </c>
      <c r="E22" s="16">
        <v>0</v>
      </c>
      <c r="F22" s="12">
        <v>0</v>
      </c>
    </row>
    <row r="23" spans="1:7">
      <c r="A23" s="12" t="s">
        <v>164</v>
      </c>
      <c r="B23" s="12">
        <f>50*2500*3</f>
        <v>375000</v>
      </c>
      <c r="C23" s="14">
        <v>0.5</v>
      </c>
      <c r="D23" s="15">
        <f t="shared" si="4"/>
        <v>187500</v>
      </c>
      <c r="E23" s="16">
        <v>0</v>
      </c>
      <c r="F23" s="12">
        <v>0</v>
      </c>
    </row>
    <row r="24" spans="1:7">
      <c r="A24" s="12" t="s">
        <v>165</v>
      </c>
      <c r="B24" s="12">
        <v>400000</v>
      </c>
      <c r="C24" s="14">
        <v>0.6</v>
      </c>
      <c r="D24" s="15">
        <f t="shared" si="4"/>
        <v>240000</v>
      </c>
      <c r="E24" s="16">
        <v>0</v>
      </c>
      <c r="F24" s="12">
        <v>0</v>
      </c>
    </row>
    <row r="25" spans="1:7">
      <c r="A25" s="12" t="s">
        <v>166</v>
      </c>
      <c r="B25" s="12">
        <v>1000000</v>
      </c>
      <c r="C25" s="14">
        <v>0.2</v>
      </c>
      <c r="D25" s="15">
        <f t="shared" si="4"/>
        <v>200000</v>
      </c>
      <c r="E25" s="16">
        <v>0</v>
      </c>
      <c r="F25" s="12">
        <v>0</v>
      </c>
    </row>
    <row r="28" spans="1:7">
      <c r="A28" s="3" t="s">
        <v>167</v>
      </c>
      <c r="D28" s="19">
        <f>SUM(D2:D9)</f>
        <v>1166664.9</v>
      </c>
      <c r="E28" s="19">
        <f>SUM(E2:E8)</f>
        <v>725.354318336059</v>
      </c>
      <c r="F28" s="19">
        <f>SUM(F2:F8)</f>
        <v>1211.34105816514</v>
      </c>
    </row>
    <row r="29" spans="1:7">
      <c r="A29" s="3" t="s">
        <v>168</v>
      </c>
      <c r="D29" s="19">
        <f>SUM(D10:D25)</f>
        <v>3948164.9</v>
      </c>
      <c r="E29" s="19">
        <f>SUM(E10:E16)</f>
        <v>1489.66803911219</v>
      </c>
      <c r="F29" s="19">
        <f>SUM(F10:F16)</f>
        <v>3070.57998149763</v>
      </c>
    </row>
    <row r="30" spans="1:7">
      <c r="A30" t="s">
        <v>169</v>
      </c>
      <c r="D30" s="19">
        <f>SUM(D28:D29)</f>
        <v>5114829.8</v>
      </c>
    </row>
    <row r="31" spans="1:7">
      <c r="D31" s="19"/>
    </row>
    <row r="32" spans="1:7">
      <c r="A32" t="s">
        <v>170</v>
      </c>
      <c r="B32">
        <v>20000000</v>
      </c>
      <c r="D32" s="19"/>
    </row>
    <row r="33" spans="1:9">
      <c r="A33" t="s">
        <v>171</v>
      </c>
      <c r="B33">
        <f>J57+F47</f>
        <v>6914836</v>
      </c>
      <c r="D33" s="19"/>
    </row>
    <row r="34" spans="1:9">
      <c r="A34" t="s">
        <v>172</v>
      </c>
      <c r="B34">
        <f>SUMIF(C2:C25,"&gt;90%",D2:D25)</f>
        <v>48000</v>
      </c>
    </row>
    <row r="35" spans="1:9">
      <c r="A35" t="s">
        <v>173</v>
      </c>
      <c r="B35">
        <f>SUM(B33:B34)</f>
        <v>6962836</v>
      </c>
    </row>
    <row r="36" spans="1:9">
      <c r="A36" t="s">
        <v>174</v>
      </c>
      <c r="B36" s="20">
        <f>B35/B32</f>
        <v>0.3481418</v>
      </c>
    </row>
    <row r="37" spans="1:9">
      <c r="B37" s="20"/>
    </row>
    <row r="38" spans="1:9">
      <c r="A38" s="3" t="s">
        <v>175</v>
      </c>
    </row>
    <row r="39" ht="16.8" spans="1:9">
      <c r="A39" s="4" t="s">
        <v>55</v>
      </c>
      <c r="B39" s="21" t="s">
        <v>176</v>
      </c>
      <c r="C39" s="21" t="s">
        <v>177</v>
      </c>
      <c r="D39" s="22" t="s">
        <v>178</v>
      </c>
      <c r="E39" s="23" t="s">
        <v>179</v>
      </c>
      <c r="F39" s="4" t="s">
        <v>180</v>
      </c>
      <c r="I39" s="24"/>
    </row>
    <row r="40" ht="16.8" spans="1:9">
      <c r="A40" s="25" t="s">
        <v>58</v>
      </c>
      <c r="B40" s="25">
        <v>1866</v>
      </c>
      <c r="C40" s="25">
        <v>814</v>
      </c>
      <c r="D40" s="26">
        <v>0.436227224008574</v>
      </c>
      <c r="E40" s="15">
        <v>1986.5343980344</v>
      </c>
      <c r="F40" s="27">
        <v>1617039</v>
      </c>
      <c r="I40" s="24"/>
    </row>
    <row r="41" ht="16.8" spans="1:9">
      <c r="A41" s="25" t="s">
        <v>65</v>
      </c>
      <c r="B41" s="25">
        <v>109</v>
      </c>
      <c r="C41" s="25">
        <v>61</v>
      </c>
      <c r="D41" s="28">
        <v>0.559633027522936</v>
      </c>
      <c r="E41" s="15">
        <v>2439.68852459016</v>
      </c>
      <c r="F41" s="29">
        <v>148821</v>
      </c>
      <c r="I41" s="24"/>
    </row>
    <row r="42" ht="16.8" spans="1:9">
      <c r="A42" s="25" t="s">
        <v>69</v>
      </c>
      <c r="B42" s="25">
        <v>909</v>
      </c>
      <c r="C42" s="25">
        <v>781</v>
      </c>
      <c r="D42" s="28">
        <v>0.859185918591859</v>
      </c>
      <c r="E42" s="15">
        <v>2101.06786171575</v>
      </c>
      <c r="F42" s="29">
        <v>1640934</v>
      </c>
      <c r="I42" s="24"/>
    </row>
    <row r="43" ht="16.8" spans="1:9">
      <c r="A43" s="25" t="s">
        <v>101</v>
      </c>
      <c r="B43" s="25">
        <v>0</v>
      </c>
      <c r="C43" s="25">
        <v>0</v>
      </c>
      <c r="D43" s="30">
        <v>0.4</v>
      </c>
      <c r="E43" s="15">
        <v>1764</v>
      </c>
      <c r="F43" s="29">
        <v>0</v>
      </c>
      <c r="I43" s="24"/>
    </row>
    <row r="44" ht="16.8" spans="1:9">
      <c r="A44" s="25" t="s">
        <v>56</v>
      </c>
      <c r="B44" s="25">
        <v>742</v>
      </c>
      <c r="C44" s="25">
        <v>577</v>
      </c>
      <c r="D44" s="28">
        <v>0.777628032345013</v>
      </c>
      <c r="E44" s="15">
        <v>2266</v>
      </c>
      <c r="F44" s="29">
        <v>1307400</v>
      </c>
      <c r="I44" s="24"/>
    </row>
    <row r="45" ht="16.8" spans="1:9">
      <c r="A45" s="25" t="s">
        <v>63</v>
      </c>
      <c r="B45" s="25">
        <v>69</v>
      </c>
      <c r="C45" s="25">
        <v>21</v>
      </c>
      <c r="D45" s="28">
        <v>0.304347826086957</v>
      </c>
      <c r="E45" s="15">
        <v>1231</v>
      </c>
      <c r="F45" s="29">
        <v>25843</v>
      </c>
      <c r="I45" s="24"/>
    </row>
    <row r="46" ht="16.8" spans="1:9">
      <c r="A46" s="25" t="s">
        <v>62</v>
      </c>
      <c r="B46" s="25">
        <v>172</v>
      </c>
      <c r="C46" s="25">
        <v>87</v>
      </c>
      <c r="D46" s="28">
        <v>0.505813953488372</v>
      </c>
      <c r="E46" s="15">
        <v>2424</v>
      </c>
      <c r="F46" s="29">
        <v>210887</v>
      </c>
      <c r="I46" s="24"/>
    </row>
    <row r="47" spans="1:9">
      <c r="F47" s="3">
        <f>SUM(F40:F46)</f>
        <v>4950924</v>
      </c>
    </row>
    <row r="48" spans="1:9">
      <c r="A48" s="3" t="s">
        <v>181</v>
      </c>
    </row>
    <row r="49" ht="16.8" spans="1:11">
      <c r="A49" s="4" t="s">
        <v>55</v>
      </c>
      <c r="B49" s="21" t="s">
        <v>176</v>
      </c>
      <c r="C49" s="21" t="s">
        <v>177</v>
      </c>
      <c r="D49" s="22" t="s">
        <v>178</v>
      </c>
      <c r="E49" s="23" t="s">
        <v>179</v>
      </c>
      <c r="F49" s="4" t="s">
        <v>180</v>
      </c>
      <c r="G49" s="31" t="s">
        <v>182</v>
      </c>
      <c r="H49" s="31" t="s">
        <v>183</v>
      </c>
      <c r="I49" s="31" t="s">
        <v>184</v>
      </c>
      <c r="J49" s="4" t="s">
        <v>185</v>
      </c>
      <c r="K49" s="4" t="s">
        <v>186</v>
      </c>
    </row>
    <row r="50" ht="16.8" spans="1:11">
      <c r="A50" s="25" t="s">
        <v>58</v>
      </c>
      <c r="B50" s="25">
        <v>1866</v>
      </c>
      <c r="C50" s="25">
        <v>814</v>
      </c>
      <c r="D50" s="32">
        <v>0.436227224008574</v>
      </c>
      <c r="E50" s="15">
        <v>1986.5343980344</v>
      </c>
      <c r="F50" s="27">
        <v>1617039</v>
      </c>
      <c r="G50" s="8">
        <f t="shared" ref="G50:G56" si="5">B50+F2</f>
        <v>2077.1298651424</v>
      </c>
      <c r="H50" s="8">
        <f t="shared" ref="H50:H56" si="6">C50+E2</f>
        <v>906.100594976373</v>
      </c>
      <c r="I50" s="8">
        <f t="shared" ref="I50:I56" si="7">D2+F50</f>
        <v>1781703.9</v>
      </c>
      <c r="J50" s="12">
        <v>618999</v>
      </c>
      <c r="K50" s="33">
        <f t="shared" ref="K50:K57" si="8">J50/I50</f>
        <v>0.347419680677581</v>
      </c>
    </row>
    <row r="51" ht="16.8" spans="1:11">
      <c r="A51" s="25" t="s">
        <v>65</v>
      </c>
      <c r="B51" s="25">
        <v>109</v>
      </c>
      <c r="C51" s="25">
        <v>61</v>
      </c>
      <c r="D51" s="30">
        <v>0.559633027522936</v>
      </c>
      <c r="E51" s="15">
        <v>2439.68852459016</v>
      </c>
      <c r="F51" s="29">
        <v>148821</v>
      </c>
      <c r="G51" s="8">
        <f t="shared" si="5"/>
        <v>182.242351549849</v>
      </c>
      <c r="H51" s="8">
        <f t="shared" si="6"/>
        <v>101.988838940741</v>
      </c>
      <c r="I51" s="8">
        <f t="shared" si="7"/>
        <v>198821</v>
      </c>
      <c r="J51" s="12">
        <v>90385</v>
      </c>
      <c r="K51" s="33">
        <f t="shared" si="8"/>
        <v>0.454604895861101</v>
      </c>
    </row>
    <row r="52" ht="16.8" spans="1:11">
      <c r="A52" s="25" t="s">
        <v>69</v>
      </c>
      <c r="B52" s="25">
        <v>909</v>
      </c>
      <c r="C52" s="25">
        <v>781</v>
      </c>
      <c r="D52" s="30">
        <v>0.859185918591859</v>
      </c>
      <c r="E52" s="15">
        <v>2101.06786171575</v>
      </c>
      <c r="F52" s="29">
        <v>1640934</v>
      </c>
      <c r="G52" s="8">
        <f t="shared" si="5"/>
        <v>1130.58112392089</v>
      </c>
      <c r="H52" s="8">
        <f t="shared" si="6"/>
        <v>971.379381498585</v>
      </c>
      <c r="I52" s="8">
        <f t="shared" si="7"/>
        <v>2000934</v>
      </c>
      <c r="J52" s="12">
        <v>698556</v>
      </c>
      <c r="K52" s="33">
        <f t="shared" si="8"/>
        <v>0.349114963312133</v>
      </c>
    </row>
    <row r="53" ht="16.8" spans="1:11">
      <c r="A53" s="25" t="s">
        <v>101</v>
      </c>
      <c r="B53" s="25">
        <v>0</v>
      </c>
      <c r="C53" s="25">
        <v>0</v>
      </c>
      <c r="D53" s="30">
        <v>0.4</v>
      </c>
      <c r="E53" s="15">
        <v>1764</v>
      </c>
      <c r="F53" s="29">
        <v>0</v>
      </c>
      <c r="G53" s="8">
        <f t="shared" si="5"/>
        <v>70.8616780045351</v>
      </c>
      <c r="H53" s="8">
        <f t="shared" si="6"/>
        <v>28.3446712018141</v>
      </c>
      <c r="I53" s="8">
        <f t="shared" si="7"/>
        <v>25000</v>
      </c>
      <c r="J53" s="12">
        <v>0</v>
      </c>
      <c r="K53" s="33">
        <f t="shared" si="8"/>
        <v>0</v>
      </c>
    </row>
    <row r="54" ht="16.8" spans="1:11">
      <c r="A54" s="25" t="s">
        <v>56</v>
      </c>
      <c r="B54" s="25">
        <v>742</v>
      </c>
      <c r="C54" s="25">
        <v>577</v>
      </c>
      <c r="D54" s="30">
        <v>0.777628032345013</v>
      </c>
      <c r="E54" s="15">
        <v>2265.85788561525</v>
      </c>
      <c r="F54" s="29">
        <v>1307400</v>
      </c>
      <c r="G54" s="8">
        <f t="shared" si="5"/>
        <v>798.750303254653</v>
      </c>
      <c r="H54" s="8">
        <f t="shared" si="6"/>
        <v>621.130626654898</v>
      </c>
      <c r="I54" s="8">
        <f t="shared" si="7"/>
        <v>1357400</v>
      </c>
      <c r="J54" s="12">
        <v>492245</v>
      </c>
      <c r="K54" s="33">
        <f t="shared" si="8"/>
        <v>0.36263813172241</v>
      </c>
    </row>
    <row r="55" ht="16.8" spans="1:11">
      <c r="A55" s="25" t="s">
        <v>63</v>
      </c>
      <c r="B55" s="25">
        <v>69</v>
      </c>
      <c r="C55" s="25">
        <v>21</v>
      </c>
      <c r="D55" s="30">
        <v>0.304347826086957</v>
      </c>
      <c r="E55" s="15">
        <v>1230.61904761905</v>
      </c>
      <c r="F55" s="29">
        <v>25843</v>
      </c>
      <c r="G55" s="8">
        <f t="shared" si="5"/>
        <v>202.498432844484</v>
      </c>
      <c r="H55" s="8">
        <f t="shared" si="6"/>
        <v>61.6299578222342</v>
      </c>
      <c r="I55" s="8">
        <f t="shared" si="7"/>
        <v>50843</v>
      </c>
      <c r="J55" s="12">
        <v>475</v>
      </c>
      <c r="K55" s="33">
        <f t="shared" si="8"/>
        <v>0.0093424856912456</v>
      </c>
    </row>
    <row r="56" ht="16.8" spans="1:11">
      <c r="A56" s="25" t="s">
        <v>62</v>
      </c>
      <c r="B56" s="25">
        <v>172</v>
      </c>
      <c r="C56" s="25">
        <v>87</v>
      </c>
      <c r="D56" s="30">
        <v>0.505813953488372</v>
      </c>
      <c r="E56" s="12">
        <v>2424</v>
      </c>
      <c r="F56" s="29">
        <v>210887</v>
      </c>
      <c r="G56" s="8">
        <f t="shared" si="5"/>
        <v>616.277303448328</v>
      </c>
      <c r="H56" s="8">
        <f t="shared" si="6"/>
        <v>375.780247241413</v>
      </c>
      <c r="I56" s="8">
        <f t="shared" si="7"/>
        <v>450887</v>
      </c>
      <c r="J56" s="12">
        <v>63252</v>
      </c>
      <c r="K56" s="33">
        <f t="shared" si="8"/>
        <v>0.140283485662705</v>
      </c>
    </row>
    <row r="57" spans="1:11">
      <c r="F57" s="3">
        <f>SUM(F50:F56)</f>
        <v>4950924</v>
      </c>
      <c r="I57" s="19">
        <f>SUM(I50:I56)</f>
        <v>5865588.9</v>
      </c>
      <c r="J57" s="19">
        <f>SUM(J50:J56)</f>
        <v>1963912</v>
      </c>
      <c r="K57" s="20">
        <f t="shared" si="8"/>
        <v>0.33481923699085</v>
      </c>
    </row>
    <row r="58" spans="1:11">
      <c r="A58" s="3" t="s">
        <v>187</v>
      </c>
    </row>
    <row r="59" ht="16.8" spans="1:11">
      <c r="A59" s="4" t="s">
        <v>55</v>
      </c>
      <c r="B59" s="21" t="s">
        <v>176</v>
      </c>
      <c r="C59" s="21" t="s">
        <v>177</v>
      </c>
      <c r="D59" s="22" t="s">
        <v>178</v>
      </c>
      <c r="E59" s="23" t="s">
        <v>179</v>
      </c>
      <c r="F59" s="4" t="s">
        <v>180</v>
      </c>
      <c r="G59" s="31" t="s">
        <v>182</v>
      </c>
      <c r="H59" s="31" t="s">
        <v>183</v>
      </c>
      <c r="I59" s="31" t="s">
        <v>184</v>
      </c>
      <c r="J59" s="4" t="s">
        <v>185</v>
      </c>
      <c r="K59" s="4" t="s">
        <v>186</v>
      </c>
    </row>
    <row r="60" ht="16.8" spans="1:11">
      <c r="A60" s="25" t="s">
        <v>58</v>
      </c>
      <c r="B60" s="25">
        <v>1866</v>
      </c>
      <c r="C60" s="25">
        <v>814</v>
      </c>
      <c r="D60" s="32">
        <v>0.436227224008574</v>
      </c>
      <c r="E60" s="15">
        <v>1986.5343980344</v>
      </c>
      <c r="F60" s="27">
        <v>1617039</v>
      </c>
      <c r="G60" s="34">
        <f t="shared" ref="G60:G66" si="9">B60+F10</f>
        <v>3115.6947977136</v>
      </c>
      <c r="H60" s="8">
        <f t="shared" ref="H60:H66" si="10">C60+E10</f>
        <v>1359.15089246456</v>
      </c>
      <c r="I60" s="35">
        <f t="shared" ref="I60:I66" si="11">H60*E60*C10</f>
        <v>2430000</v>
      </c>
      <c r="J60" s="12">
        <v>0</v>
      </c>
      <c r="K60" s="12">
        <v>0</v>
      </c>
    </row>
    <row r="61" ht="16.8" spans="1:11">
      <c r="A61" s="25" t="s">
        <v>65</v>
      </c>
      <c r="B61" s="25">
        <v>109</v>
      </c>
      <c r="C61" s="25">
        <v>61</v>
      </c>
      <c r="D61" s="30">
        <v>0.559633027522936</v>
      </c>
      <c r="E61" s="15">
        <v>2439.68852459016</v>
      </c>
      <c r="F61" s="29">
        <v>148821</v>
      </c>
      <c r="G61" s="8">
        <f t="shared" si="9"/>
        <v>182.242351549849</v>
      </c>
      <c r="H61" s="8">
        <f t="shared" si="10"/>
        <v>101.988838940741</v>
      </c>
      <c r="I61" s="36">
        <f t="shared" si="11"/>
        <v>124410.5</v>
      </c>
      <c r="J61" s="12">
        <v>0</v>
      </c>
      <c r="K61" s="12">
        <v>0</v>
      </c>
    </row>
    <row r="62" ht="16.8" spans="1:11">
      <c r="A62" s="25" t="s">
        <v>69</v>
      </c>
      <c r="B62" s="25">
        <v>909</v>
      </c>
      <c r="C62" s="25">
        <v>781</v>
      </c>
      <c r="D62" s="30">
        <v>0.859185918591859</v>
      </c>
      <c r="E62" s="15">
        <v>2101.06786171575</v>
      </c>
      <c r="F62" s="29">
        <v>1640934</v>
      </c>
      <c r="G62" s="8">
        <f t="shared" si="9"/>
        <v>1241.37168588133</v>
      </c>
      <c r="H62" s="8">
        <f t="shared" si="10"/>
        <v>1066.56907224788</v>
      </c>
      <c r="I62" s="36">
        <f t="shared" si="11"/>
        <v>2016840.6</v>
      </c>
      <c r="J62" s="12">
        <v>0</v>
      </c>
      <c r="K62" s="12">
        <v>0</v>
      </c>
    </row>
    <row r="63" ht="16.8" spans="1:11">
      <c r="A63" s="25" t="s">
        <v>101</v>
      </c>
      <c r="B63" s="25">
        <v>0</v>
      </c>
      <c r="C63" s="25">
        <v>0</v>
      </c>
      <c r="D63" s="30">
        <v>0.4</v>
      </c>
      <c r="E63" s="15">
        <v>1764</v>
      </c>
      <c r="F63" s="29">
        <v>0</v>
      </c>
      <c r="G63" s="8">
        <f t="shared" si="9"/>
        <v>708.616780045351</v>
      </c>
      <c r="H63" s="8">
        <f t="shared" si="10"/>
        <v>283.446712018141</v>
      </c>
      <c r="I63" s="36">
        <f t="shared" si="11"/>
        <v>400000</v>
      </c>
      <c r="J63" s="12">
        <v>0</v>
      </c>
      <c r="K63" s="12">
        <v>0</v>
      </c>
    </row>
    <row r="64" ht="16.8" spans="1:11">
      <c r="A64" s="25" t="s">
        <v>56</v>
      </c>
      <c r="B64" s="25">
        <v>742</v>
      </c>
      <c r="C64" s="25">
        <v>577</v>
      </c>
      <c r="D64" s="30">
        <v>0.777628032345013</v>
      </c>
      <c r="E64" s="15">
        <v>2265.85788561525</v>
      </c>
      <c r="F64" s="29">
        <v>1307400</v>
      </c>
      <c r="G64" s="8">
        <f t="shared" si="9"/>
        <v>855.500606509306</v>
      </c>
      <c r="H64" s="8">
        <f t="shared" si="10"/>
        <v>665.261253309797</v>
      </c>
      <c r="I64" s="36">
        <f t="shared" si="11"/>
        <v>753693.728403144</v>
      </c>
      <c r="J64" s="12">
        <v>0</v>
      </c>
      <c r="K64" s="12">
        <v>0</v>
      </c>
    </row>
    <row r="65" ht="16.8" spans="1:11">
      <c r="A65" s="25" t="s">
        <v>63</v>
      </c>
      <c r="B65" s="25">
        <v>69</v>
      </c>
      <c r="C65" s="25">
        <v>21</v>
      </c>
      <c r="D65" s="30">
        <v>0.304347826086957</v>
      </c>
      <c r="E65" s="15">
        <v>1230.61904761905</v>
      </c>
      <c r="F65" s="29">
        <v>25843</v>
      </c>
      <c r="G65" s="8">
        <f t="shared" si="9"/>
        <v>335.914239294418</v>
      </c>
      <c r="H65" s="8">
        <f t="shared" si="10"/>
        <v>102.23476848091</v>
      </c>
      <c r="I65" s="36">
        <f t="shared" si="11"/>
        <v>100649.642737225</v>
      </c>
      <c r="J65" s="12">
        <v>0</v>
      </c>
      <c r="K65" s="12">
        <v>0</v>
      </c>
    </row>
    <row r="66" ht="16.8" spans="1:11">
      <c r="A66" s="25" t="s">
        <v>62</v>
      </c>
      <c r="B66" s="25">
        <v>172</v>
      </c>
      <c r="C66" s="25">
        <v>87</v>
      </c>
      <c r="D66" s="30">
        <v>0.505813953488372</v>
      </c>
      <c r="E66" s="12">
        <v>2424</v>
      </c>
      <c r="F66" s="29">
        <v>210887</v>
      </c>
      <c r="G66" s="8">
        <f t="shared" si="9"/>
        <v>498.239520503775</v>
      </c>
      <c r="H66" s="8">
        <f t="shared" si="10"/>
        <v>252.016501650165</v>
      </c>
      <c r="I66" s="36">
        <f t="shared" si="11"/>
        <v>488710.4</v>
      </c>
      <c r="J66" s="12">
        <v>0</v>
      </c>
      <c r="K66" s="12">
        <v>0</v>
      </c>
    </row>
    <row r="67" spans="1:11">
      <c r="F67" s="3">
        <f t="shared" ref="F67:K67" si="12">SUM(F60:F66)</f>
        <v>4950924</v>
      </c>
      <c r="I67" s="19">
        <f>SUM(I60:I66)</f>
        <v>6314304.87114037</v>
      </c>
      <c r="J67">
        <f t="shared" si="12"/>
        <v>0</v>
      </c>
      <c r="K67">
        <f t="shared" si="12"/>
        <v>0</v>
      </c>
    </row>
  </sheetData>
  <autoFilter xmlns:etc="http://www.wps.cn/officeDocument/2017/etCustomData" ref="A1:F2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3"/>
  <sheetViews>
    <sheetView workbookViewId="0">
      <selection activeCell="F4" sqref="F4"/>
    </sheetView>
  </sheetViews>
  <sheetFormatPr defaultColWidth="9.14285714285714" defaultRowHeight="14.4" outlineLevelCol="2"/>
  <sheetData>
    <row r="1" spans="1:3">
      <c r="A1" s="1" t="s">
        <v>188</v>
      </c>
      <c r="B1" s="1" t="s">
        <v>189</v>
      </c>
      <c r="C1" s="1" t="s">
        <v>190</v>
      </c>
    </row>
    <row r="2" spans="1:3">
      <c r="A2" s="1" t="s">
        <v>3</v>
      </c>
      <c r="B2" s="1" t="s">
        <v>191</v>
      </c>
      <c r="C2" s="2">
        <v>1</v>
      </c>
    </row>
    <row r="3" spans="1:3">
      <c r="A3" s="1" t="s">
        <v>3</v>
      </c>
      <c r="B3" s="1" t="s">
        <v>192</v>
      </c>
      <c r="C3" s="2">
        <v>1</v>
      </c>
    </row>
    <row r="4" spans="1:3">
      <c r="A4" s="1" t="s">
        <v>3</v>
      </c>
      <c r="B4" s="1" t="s">
        <v>56</v>
      </c>
      <c r="C4" s="2">
        <v>2</v>
      </c>
    </row>
    <row r="5" spans="1:3">
      <c r="A5" s="1" t="s">
        <v>3</v>
      </c>
      <c r="B5" s="1" t="s">
        <v>193</v>
      </c>
      <c r="C5" s="2">
        <v>1</v>
      </c>
    </row>
    <row r="6" spans="1:3">
      <c r="A6" s="1" t="s">
        <v>3</v>
      </c>
      <c r="B6" s="1" t="s">
        <v>194</v>
      </c>
      <c r="C6" s="2">
        <v>8</v>
      </c>
    </row>
    <row r="7" spans="1:3">
      <c r="A7" s="1" t="s">
        <v>4</v>
      </c>
      <c r="B7" s="1" t="s">
        <v>195</v>
      </c>
      <c r="C7" s="2">
        <v>4</v>
      </c>
    </row>
    <row r="8" spans="1:3">
      <c r="A8" s="1" t="s">
        <v>4</v>
      </c>
      <c r="B8" s="1" t="s">
        <v>192</v>
      </c>
      <c r="C8" s="2">
        <v>2</v>
      </c>
    </row>
    <row r="9" spans="1:3">
      <c r="A9" s="1" t="s">
        <v>4</v>
      </c>
      <c r="B9" s="1" t="s">
        <v>56</v>
      </c>
      <c r="C9" s="2">
        <v>1001</v>
      </c>
    </row>
    <row r="10" spans="1:3">
      <c r="A10" s="1" t="s">
        <v>4</v>
      </c>
      <c r="B10" s="1" t="s">
        <v>193</v>
      </c>
      <c r="C10" s="2">
        <v>106</v>
      </c>
    </row>
    <row r="11" spans="1:3">
      <c r="A11" s="1" t="s">
        <v>4</v>
      </c>
      <c r="B11" s="1" t="s">
        <v>194</v>
      </c>
      <c r="C11" s="2">
        <v>192</v>
      </c>
    </row>
    <row r="12" spans="1:3">
      <c r="A12" s="1" t="s">
        <v>5</v>
      </c>
      <c r="B12" s="1" t="s">
        <v>195</v>
      </c>
      <c r="C12" s="2">
        <v>7</v>
      </c>
    </row>
    <row r="13" spans="1:3">
      <c r="A13" s="1" t="s">
        <v>5</v>
      </c>
      <c r="B13" s="1" t="s">
        <v>192</v>
      </c>
      <c r="C13" s="2">
        <v>3</v>
      </c>
    </row>
    <row r="14" spans="1:3">
      <c r="A14" s="1" t="s">
        <v>5</v>
      </c>
      <c r="B14" s="1" t="s">
        <v>56</v>
      </c>
      <c r="C14" s="2">
        <v>1252</v>
      </c>
    </row>
    <row r="15" spans="1:3">
      <c r="A15" s="1" t="s">
        <v>5</v>
      </c>
      <c r="B15" s="1" t="s">
        <v>193</v>
      </c>
      <c r="C15" s="2">
        <v>89</v>
      </c>
    </row>
    <row r="16" spans="1:3">
      <c r="A16" s="1" t="s">
        <v>5</v>
      </c>
      <c r="B16" s="1" t="s">
        <v>194</v>
      </c>
      <c r="C16" s="2">
        <v>196</v>
      </c>
    </row>
    <row r="17" spans="1:3">
      <c r="A17" s="1" t="s">
        <v>5</v>
      </c>
      <c r="B17" s="1" t="s">
        <v>196</v>
      </c>
      <c r="C17" s="2">
        <v>22</v>
      </c>
    </row>
    <row r="18" spans="1:3">
      <c r="A18" s="1" t="s">
        <v>6</v>
      </c>
      <c r="B18" s="1" t="s">
        <v>195</v>
      </c>
      <c r="C18" s="2">
        <v>3</v>
      </c>
    </row>
    <row r="19" spans="1:3">
      <c r="A19" s="1" t="s">
        <v>6</v>
      </c>
      <c r="B19" s="1" t="s">
        <v>56</v>
      </c>
      <c r="C19" s="2">
        <v>1452</v>
      </c>
    </row>
    <row r="20" spans="1:3">
      <c r="A20" s="1" t="s">
        <v>6</v>
      </c>
      <c r="B20" s="1" t="s">
        <v>197</v>
      </c>
      <c r="C20" s="2">
        <v>18</v>
      </c>
    </row>
    <row r="21" spans="1:3">
      <c r="A21" s="1" t="s">
        <v>6</v>
      </c>
      <c r="B21" s="1" t="s">
        <v>193</v>
      </c>
      <c r="C21" s="2">
        <v>78</v>
      </c>
    </row>
    <row r="22" spans="1:3">
      <c r="A22" s="1" t="s">
        <v>6</v>
      </c>
      <c r="B22" s="1" t="s">
        <v>194</v>
      </c>
      <c r="C22" s="2">
        <v>212</v>
      </c>
    </row>
    <row r="23" spans="1:3">
      <c r="A23" s="1" t="s">
        <v>6</v>
      </c>
      <c r="B23" s="1" t="s">
        <v>196</v>
      </c>
      <c r="C23" s="2">
        <v>4</v>
      </c>
    </row>
    <row r="24" spans="1:3">
      <c r="A24" s="1" t="s">
        <v>7</v>
      </c>
      <c r="B24" s="1" t="s">
        <v>195</v>
      </c>
      <c r="C24" s="2">
        <v>33</v>
      </c>
    </row>
    <row r="25" spans="1:3">
      <c r="A25" s="1" t="s">
        <v>7</v>
      </c>
      <c r="B25" s="1" t="s">
        <v>56</v>
      </c>
      <c r="C25" s="2">
        <v>1234</v>
      </c>
    </row>
    <row r="26" spans="1:3">
      <c r="A26" s="1" t="s">
        <v>7</v>
      </c>
      <c r="B26" s="1" t="s">
        <v>197</v>
      </c>
      <c r="C26" s="2">
        <v>200</v>
      </c>
    </row>
    <row r="27" spans="1:3">
      <c r="A27" s="1" t="s">
        <v>7</v>
      </c>
      <c r="B27" s="1" t="s">
        <v>193</v>
      </c>
      <c r="C27" s="2">
        <v>100</v>
      </c>
    </row>
    <row r="28" spans="1:3">
      <c r="A28" s="1" t="s">
        <v>7</v>
      </c>
      <c r="B28" s="1" t="s">
        <v>194</v>
      </c>
      <c r="C28" s="2">
        <v>180</v>
      </c>
    </row>
    <row r="29" spans="1:3">
      <c r="A29" s="1" t="s">
        <v>7</v>
      </c>
      <c r="B29" s="1" t="s">
        <v>196</v>
      </c>
      <c r="C29" s="2">
        <v>46</v>
      </c>
    </row>
    <row r="30" spans="1:3">
      <c r="A30" s="1" t="s">
        <v>8</v>
      </c>
      <c r="B30" s="1" t="s">
        <v>60</v>
      </c>
      <c r="C30" s="2">
        <v>1</v>
      </c>
    </row>
    <row r="31" spans="1:3">
      <c r="A31" s="1" t="s">
        <v>8</v>
      </c>
      <c r="B31" s="1" t="s">
        <v>195</v>
      </c>
      <c r="C31" s="2">
        <v>2</v>
      </c>
    </row>
    <row r="32" spans="1:3">
      <c r="A32" s="1" t="s">
        <v>8</v>
      </c>
      <c r="B32" s="1" t="s">
        <v>56</v>
      </c>
      <c r="C32" s="2">
        <v>1182</v>
      </c>
    </row>
    <row r="33" spans="1:3">
      <c r="A33" s="1" t="s">
        <v>8</v>
      </c>
      <c r="B33" s="1" t="s">
        <v>197</v>
      </c>
      <c r="C33" s="2">
        <v>166</v>
      </c>
    </row>
    <row r="34" spans="1:3">
      <c r="A34" s="1" t="s">
        <v>8</v>
      </c>
      <c r="B34" s="1" t="s">
        <v>193</v>
      </c>
      <c r="C34" s="2">
        <v>69</v>
      </c>
    </row>
    <row r="35" spans="1:3">
      <c r="A35" s="1" t="s">
        <v>8</v>
      </c>
      <c r="B35" s="1" t="s">
        <v>194</v>
      </c>
      <c r="C35" s="2">
        <v>91</v>
      </c>
    </row>
    <row r="36" spans="1:3">
      <c r="A36" s="1" t="s">
        <v>8</v>
      </c>
      <c r="B36" s="1" t="s">
        <v>196</v>
      </c>
      <c r="C36" s="2">
        <v>101</v>
      </c>
    </row>
    <row r="37" spans="1:3">
      <c r="A37" s="1" t="s">
        <v>9</v>
      </c>
      <c r="B37" s="1" t="s">
        <v>59</v>
      </c>
      <c r="C37" s="2">
        <v>1</v>
      </c>
    </row>
    <row r="38" spans="1:3">
      <c r="A38" s="1" t="s">
        <v>9</v>
      </c>
      <c r="B38" s="1" t="s">
        <v>195</v>
      </c>
      <c r="C38" s="2">
        <v>84</v>
      </c>
    </row>
    <row r="39" spans="1:3">
      <c r="A39" s="1" t="s">
        <v>9</v>
      </c>
      <c r="B39" s="1" t="s">
        <v>56</v>
      </c>
      <c r="C39" s="2">
        <v>1271</v>
      </c>
    </row>
    <row r="40" spans="1:3">
      <c r="A40" s="1" t="s">
        <v>9</v>
      </c>
      <c r="B40" s="1" t="s">
        <v>197</v>
      </c>
      <c r="C40" s="2">
        <v>39</v>
      </c>
    </row>
    <row r="41" spans="1:3">
      <c r="A41" s="1" t="s">
        <v>9</v>
      </c>
      <c r="B41" s="1" t="s">
        <v>193</v>
      </c>
      <c r="C41" s="2">
        <v>81</v>
      </c>
    </row>
    <row r="42" spans="1:3">
      <c r="A42" s="1" t="s">
        <v>9</v>
      </c>
      <c r="B42" s="1" t="s">
        <v>196</v>
      </c>
      <c r="C42" s="2">
        <v>183</v>
      </c>
    </row>
    <row r="43" spans="1:3">
      <c r="A43" s="1" t="s">
        <v>10</v>
      </c>
      <c r="B43" s="1" t="s">
        <v>58</v>
      </c>
      <c r="C43" s="2">
        <v>2</v>
      </c>
    </row>
    <row r="44" spans="1:3">
      <c r="A44" s="1" t="s">
        <v>10</v>
      </c>
      <c r="B44" s="1" t="s">
        <v>59</v>
      </c>
      <c r="C44" s="2">
        <v>7</v>
      </c>
    </row>
    <row r="45" spans="1:3">
      <c r="A45" s="1" t="s">
        <v>10</v>
      </c>
      <c r="B45" s="1" t="s">
        <v>195</v>
      </c>
      <c r="C45" s="2">
        <v>114</v>
      </c>
    </row>
    <row r="46" spans="1:3">
      <c r="A46" s="1" t="s">
        <v>10</v>
      </c>
      <c r="B46" s="1" t="s">
        <v>56</v>
      </c>
      <c r="C46" s="2">
        <v>876</v>
      </c>
    </row>
    <row r="47" spans="1:3">
      <c r="A47" s="1" t="s">
        <v>10</v>
      </c>
      <c r="B47" s="1" t="s">
        <v>197</v>
      </c>
      <c r="C47" s="2">
        <v>34</v>
      </c>
    </row>
    <row r="48" spans="1:3">
      <c r="A48" s="1" t="s">
        <v>10</v>
      </c>
      <c r="B48" s="1" t="s">
        <v>193</v>
      </c>
      <c r="C48" s="2">
        <v>24</v>
      </c>
    </row>
    <row r="49" spans="1:3">
      <c r="A49" s="1" t="s">
        <v>10</v>
      </c>
      <c r="B49" s="1" t="s">
        <v>196</v>
      </c>
      <c r="C49" s="2">
        <v>780</v>
      </c>
    </row>
    <row r="50" spans="1:3">
      <c r="A50" s="1" t="s">
        <v>11</v>
      </c>
      <c r="B50" s="1" t="s">
        <v>59</v>
      </c>
      <c r="C50" s="2">
        <v>30</v>
      </c>
    </row>
    <row r="51" spans="1:3">
      <c r="A51" s="1" t="s">
        <v>11</v>
      </c>
      <c r="B51" s="1" t="s">
        <v>60</v>
      </c>
      <c r="C51" s="2">
        <v>4</v>
      </c>
    </row>
    <row r="52" spans="1:3">
      <c r="A52" s="1" t="s">
        <v>11</v>
      </c>
      <c r="B52" s="1" t="s">
        <v>195</v>
      </c>
      <c r="C52" s="2">
        <v>203</v>
      </c>
    </row>
    <row r="53" spans="1:3">
      <c r="A53" s="1" t="s">
        <v>11</v>
      </c>
      <c r="B53" s="1" t="s">
        <v>56</v>
      </c>
      <c r="C53" s="2">
        <v>866</v>
      </c>
    </row>
    <row r="54" spans="1:3">
      <c r="A54" s="1" t="s">
        <v>11</v>
      </c>
      <c r="B54" s="1" t="s">
        <v>197</v>
      </c>
      <c r="C54" s="2">
        <v>28</v>
      </c>
    </row>
    <row r="55" spans="1:3">
      <c r="A55" s="1" t="s">
        <v>11</v>
      </c>
      <c r="B55" s="1" t="s">
        <v>193</v>
      </c>
      <c r="C55" s="2">
        <v>1</v>
      </c>
    </row>
    <row r="56" spans="1:3">
      <c r="A56" s="1" t="s">
        <v>11</v>
      </c>
      <c r="B56" s="1" t="s">
        <v>198</v>
      </c>
      <c r="C56" s="2">
        <v>1</v>
      </c>
    </row>
    <row r="57" spans="1:3">
      <c r="A57" s="1" t="s">
        <v>11</v>
      </c>
      <c r="B57" s="1" t="s">
        <v>196</v>
      </c>
      <c r="C57" s="2">
        <v>520</v>
      </c>
    </row>
    <row r="58" spans="1:3">
      <c r="A58" s="1" t="s">
        <v>12</v>
      </c>
      <c r="B58" s="1" t="s">
        <v>58</v>
      </c>
      <c r="C58" s="2">
        <v>6</v>
      </c>
    </row>
    <row r="59" spans="1:3">
      <c r="A59" s="1" t="s">
        <v>12</v>
      </c>
      <c r="B59" s="1" t="s">
        <v>59</v>
      </c>
      <c r="C59" s="2">
        <v>15</v>
      </c>
    </row>
    <row r="60" spans="1:3">
      <c r="A60" s="1" t="s">
        <v>12</v>
      </c>
      <c r="B60" s="1" t="s">
        <v>60</v>
      </c>
      <c r="C60" s="2">
        <v>3</v>
      </c>
    </row>
    <row r="61" spans="1:3">
      <c r="A61" s="1" t="s">
        <v>12</v>
      </c>
      <c r="B61" s="1" t="s">
        <v>195</v>
      </c>
      <c r="C61" s="2">
        <v>201</v>
      </c>
    </row>
    <row r="62" spans="1:3">
      <c r="A62" s="1" t="s">
        <v>12</v>
      </c>
      <c r="B62" s="1" t="s">
        <v>56</v>
      </c>
      <c r="C62" s="2">
        <v>1160</v>
      </c>
    </row>
    <row r="63" spans="1:3">
      <c r="A63" s="1" t="s">
        <v>12</v>
      </c>
      <c r="B63" s="1" t="s">
        <v>197</v>
      </c>
      <c r="C63" s="2">
        <v>23</v>
      </c>
    </row>
    <row r="64" spans="1:3">
      <c r="A64" s="1" t="s">
        <v>12</v>
      </c>
      <c r="B64" s="1" t="s">
        <v>193</v>
      </c>
      <c r="C64" s="2">
        <v>1</v>
      </c>
    </row>
    <row r="65" spans="1:3">
      <c r="A65" s="1" t="s">
        <v>12</v>
      </c>
      <c r="B65" s="1" t="s">
        <v>198</v>
      </c>
      <c r="C65" s="2">
        <v>2</v>
      </c>
    </row>
    <row r="66" spans="1:3">
      <c r="A66" s="1" t="s">
        <v>12</v>
      </c>
      <c r="B66" s="1" t="s">
        <v>196</v>
      </c>
      <c r="C66" s="2">
        <v>393</v>
      </c>
    </row>
    <row r="67" spans="1:3">
      <c r="A67" s="1" t="s">
        <v>13</v>
      </c>
      <c r="B67" s="1" t="s">
        <v>58</v>
      </c>
      <c r="C67" s="2">
        <v>53</v>
      </c>
    </row>
    <row r="68" spans="1:3">
      <c r="A68" s="1" t="s">
        <v>13</v>
      </c>
      <c r="B68" s="1" t="s">
        <v>59</v>
      </c>
      <c r="C68" s="2">
        <v>28</v>
      </c>
    </row>
    <row r="69" spans="1:3">
      <c r="A69" s="1" t="s">
        <v>13</v>
      </c>
      <c r="B69" s="1" t="s">
        <v>61</v>
      </c>
      <c r="C69" s="2">
        <v>7</v>
      </c>
    </row>
    <row r="70" spans="1:3">
      <c r="A70" s="1" t="s">
        <v>13</v>
      </c>
      <c r="B70" s="1" t="s">
        <v>60</v>
      </c>
      <c r="C70" s="2">
        <v>11</v>
      </c>
    </row>
    <row r="71" spans="1:3">
      <c r="A71" s="1" t="s">
        <v>13</v>
      </c>
      <c r="B71" s="1" t="s">
        <v>195</v>
      </c>
      <c r="C71" s="2">
        <v>90</v>
      </c>
    </row>
    <row r="72" spans="1:3">
      <c r="A72" s="1" t="s">
        <v>13</v>
      </c>
      <c r="B72" s="1" t="s">
        <v>56</v>
      </c>
      <c r="C72" s="2">
        <v>1184</v>
      </c>
    </row>
    <row r="73" spans="1:3">
      <c r="A73" s="1" t="s">
        <v>13</v>
      </c>
      <c r="B73" s="1" t="s">
        <v>197</v>
      </c>
      <c r="C73" s="2">
        <v>1</v>
      </c>
    </row>
    <row r="74" spans="1:3">
      <c r="A74" s="1" t="s">
        <v>13</v>
      </c>
      <c r="B74" s="1" t="s">
        <v>199</v>
      </c>
      <c r="C74" s="2">
        <v>190</v>
      </c>
    </row>
    <row r="75" spans="1:3">
      <c r="A75" s="1" t="s">
        <v>13</v>
      </c>
      <c r="B75" s="1" t="s">
        <v>196</v>
      </c>
      <c r="C75" s="2">
        <v>383</v>
      </c>
    </row>
    <row r="76" spans="1:3">
      <c r="A76" s="1" t="s">
        <v>14</v>
      </c>
      <c r="B76" s="1" t="s">
        <v>58</v>
      </c>
      <c r="C76" s="2">
        <v>220</v>
      </c>
    </row>
    <row r="77" spans="1:3">
      <c r="A77" s="1" t="s">
        <v>14</v>
      </c>
      <c r="B77" s="1" t="s">
        <v>59</v>
      </c>
      <c r="C77" s="2">
        <v>22</v>
      </c>
    </row>
    <row r="78" spans="1:3">
      <c r="A78" s="1" t="s">
        <v>14</v>
      </c>
      <c r="B78" s="1" t="s">
        <v>61</v>
      </c>
      <c r="C78" s="2">
        <v>3</v>
      </c>
    </row>
    <row r="79" spans="1:3">
      <c r="A79" s="1" t="s">
        <v>14</v>
      </c>
      <c r="B79" s="1" t="s">
        <v>60</v>
      </c>
      <c r="C79" s="2">
        <v>7</v>
      </c>
    </row>
    <row r="80" spans="1:3">
      <c r="A80" s="1" t="s">
        <v>14</v>
      </c>
      <c r="B80" s="1" t="s">
        <v>195</v>
      </c>
      <c r="C80" s="2">
        <v>102</v>
      </c>
    </row>
    <row r="81" spans="1:3">
      <c r="A81" s="1" t="s">
        <v>14</v>
      </c>
      <c r="B81" s="1" t="s">
        <v>56</v>
      </c>
      <c r="C81" s="2">
        <v>1474</v>
      </c>
    </row>
    <row r="82" spans="1:3">
      <c r="A82" s="1" t="s">
        <v>14</v>
      </c>
      <c r="B82" s="1" t="s">
        <v>197</v>
      </c>
      <c r="C82" s="2">
        <v>5</v>
      </c>
    </row>
    <row r="83" spans="1:3">
      <c r="A83" s="1" t="s">
        <v>14</v>
      </c>
      <c r="B83" s="1" t="s">
        <v>63</v>
      </c>
      <c r="C83" s="2">
        <v>1</v>
      </c>
    </row>
    <row r="84" spans="1:3">
      <c r="A84" s="1" t="s">
        <v>14</v>
      </c>
      <c r="B84" s="1" t="s">
        <v>200</v>
      </c>
      <c r="C84" s="2">
        <v>4</v>
      </c>
    </row>
    <row r="85" spans="1:3">
      <c r="A85" s="1" t="s">
        <v>14</v>
      </c>
      <c r="B85" s="1" t="s">
        <v>62</v>
      </c>
      <c r="C85" s="2">
        <v>1</v>
      </c>
    </row>
    <row r="86" spans="1:3">
      <c r="A86" s="1" t="s">
        <v>14</v>
      </c>
      <c r="B86" s="1" t="s">
        <v>199</v>
      </c>
      <c r="C86" s="2">
        <v>196</v>
      </c>
    </row>
    <row r="87" spans="1:3">
      <c r="A87" s="1" t="s">
        <v>14</v>
      </c>
      <c r="B87" s="1" t="s">
        <v>196</v>
      </c>
      <c r="C87" s="2">
        <v>170</v>
      </c>
    </row>
    <row r="88" spans="1:3">
      <c r="A88" s="1" t="s">
        <v>15</v>
      </c>
      <c r="B88" s="1" t="s">
        <v>191</v>
      </c>
      <c r="C88" s="2">
        <v>14</v>
      </c>
    </row>
    <row r="89" spans="1:3">
      <c r="A89" s="1" t="s">
        <v>15</v>
      </c>
      <c r="B89" s="1" t="s">
        <v>58</v>
      </c>
      <c r="C89" s="2">
        <v>170</v>
      </c>
    </row>
    <row r="90" spans="1:3">
      <c r="A90" s="1" t="s">
        <v>15</v>
      </c>
      <c r="B90" s="1" t="s">
        <v>59</v>
      </c>
      <c r="C90" s="2">
        <v>57</v>
      </c>
    </row>
    <row r="91" spans="1:3">
      <c r="A91" s="1" t="s">
        <v>15</v>
      </c>
      <c r="B91" s="1" t="s">
        <v>61</v>
      </c>
      <c r="C91" s="2">
        <v>12</v>
      </c>
    </row>
    <row r="92" spans="1:3">
      <c r="A92" s="1" t="s">
        <v>15</v>
      </c>
      <c r="B92" s="1" t="s">
        <v>60</v>
      </c>
      <c r="C92" s="2">
        <v>1</v>
      </c>
    </row>
    <row r="93" spans="1:3">
      <c r="A93" s="1" t="s">
        <v>15</v>
      </c>
      <c r="B93" s="1" t="s">
        <v>195</v>
      </c>
      <c r="C93" s="2">
        <v>219</v>
      </c>
    </row>
    <row r="94" spans="1:3">
      <c r="A94" s="1" t="s">
        <v>15</v>
      </c>
      <c r="B94" s="1" t="s">
        <v>201</v>
      </c>
      <c r="C94" s="2">
        <v>1</v>
      </c>
    </row>
    <row r="95" spans="1:3">
      <c r="A95" s="1" t="s">
        <v>15</v>
      </c>
      <c r="B95" s="1" t="s">
        <v>56</v>
      </c>
      <c r="C95" s="2">
        <v>921</v>
      </c>
    </row>
    <row r="96" spans="1:3">
      <c r="A96" s="1" t="s">
        <v>15</v>
      </c>
      <c r="B96" s="1" t="s">
        <v>63</v>
      </c>
      <c r="C96" s="2">
        <v>48</v>
      </c>
    </row>
    <row r="97" spans="1:3">
      <c r="A97" s="1" t="s">
        <v>15</v>
      </c>
      <c r="B97" s="1" t="s">
        <v>200</v>
      </c>
      <c r="C97" s="2">
        <v>2</v>
      </c>
    </row>
    <row r="98" spans="1:3">
      <c r="A98" s="1" t="s">
        <v>15</v>
      </c>
      <c r="B98" s="1" t="s">
        <v>196</v>
      </c>
      <c r="C98" s="2">
        <v>38</v>
      </c>
    </row>
    <row r="99" spans="1:3">
      <c r="A99" s="1" t="s">
        <v>15</v>
      </c>
      <c r="B99" s="1" t="s">
        <v>202</v>
      </c>
      <c r="C99" s="2">
        <v>190</v>
      </c>
    </row>
    <row r="100" spans="1:3">
      <c r="A100" s="1" t="s">
        <v>16</v>
      </c>
      <c r="B100" s="1" t="s">
        <v>203</v>
      </c>
      <c r="C100" s="2">
        <v>11</v>
      </c>
    </row>
    <row r="101" spans="1:3">
      <c r="A101" s="1" t="s">
        <v>16</v>
      </c>
      <c r="B101" s="1" t="s">
        <v>191</v>
      </c>
      <c r="C101" s="2">
        <v>54</v>
      </c>
    </row>
    <row r="102" spans="1:3">
      <c r="A102" s="1" t="s">
        <v>16</v>
      </c>
      <c r="B102" s="1" t="s">
        <v>58</v>
      </c>
      <c r="C102" s="2">
        <v>190</v>
      </c>
    </row>
    <row r="103" spans="1:3">
      <c r="A103" s="1" t="s">
        <v>16</v>
      </c>
      <c r="B103" s="1" t="s">
        <v>59</v>
      </c>
      <c r="C103" s="2">
        <v>35</v>
      </c>
    </row>
    <row r="104" spans="1:3">
      <c r="A104" s="1" t="s">
        <v>16</v>
      </c>
      <c r="B104" s="1" t="s">
        <v>61</v>
      </c>
      <c r="C104" s="2">
        <v>4</v>
      </c>
    </row>
    <row r="105" spans="1:3">
      <c r="A105" s="1" t="s">
        <v>16</v>
      </c>
      <c r="B105" s="1" t="s">
        <v>60</v>
      </c>
      <c r="C105" s="2">
        <v>1</v>
      </c>
    </row>
    <row r="106" spans="1:3">
      <c r="A106" s="1" t="s">
        <v>16</v>
      </c>
      <c r="B106" s="1" t="s">
        <v>56</v>
      </c>
      <c r="C106" s="2">
        <v>2278</v>
      </c>
    </row>
    <row r="107" spans="1:3">
      <c r="A107" s="1" t="s">
        <v>16</v>
      </c>
      <c r="B107" s="1" t="s">
        <v>63</v>
      </c>
      <c r="C107" s="2">
        <v>79</v>
      </c>
    </row>
    <row r="108" spans="1:3">
      <c r="A108" s="1" t="s">
        <v>16</v>
      </c>
      <c r="B108" s="1" t="s">
        <v>196</v>
      </c>
      <c r="C108" s="2">
        <v>20</v>
      </c>
    </row>
    <row r="109" spans="1:3">
      <c r="A109" s="1" t="s">
        <v>16</v>
      </c>
      <c r="B109" s="1" t="s">
        <v>202</v>
      </c>
      <c r="C109" s="2">
        <v>113</v>
      </c>
    </row>
    <row r="110" spans="1:3">
      <c r="A110" s="1" t="s">
        <v>17</v>
      </c>
      <c r="B110" s="1" t="s">
        <v>203</v>
      </c>
      <c r="C110" s="2">
        <v>57</v>
      </c>
    </row>
    <row r="111" spans="1:3">
      <c r="A111" s="1" t="s">
        <v>17</v>
      </c>
      <c r="B111" s="1" t="s">
        <v>191</v>
      </c>
      <c r="C111" s="2">
        <v>71</v>
      </c>
    </row>
    <row r="112" spans="1:3">
      <c r="A112" s="1" t="s">
        <v>17</v>
      </c>
      <c r="B112" s="1" t="s">
        <v>58</v>
      </c>
      <c r="C112" s="2">
        <v>188</v>
      </c>
    </row>
    <row r="113" spans="1:3">
      <c r="A113" s="1" t="s">
        <v>17</v>
      </c>
      <c r="B113" s="1" t="s">
        <v>59</v>
      </c>
      <c r="C113" s="2">
        <v>4</v>
      </c>
    </row>
    <row r="114" spans="1:3">
      <c r="A114" s="1" t="s">
        <v>17</v>
      </c>
      <c r="B114" s="1" t="s">
        <v>61</v>
      </c>
      <c r="C114" s="2">
        <v>8</v>
      </c>
    </row>
    <row r="115" spans="1:3">
      <c r="A115" s="1" t="s">
        <v>17</v>
      </c>
      <c r="B115" s="1" t="s">
        <v>60</v>
      </c>
      <c r="C115" s="2">
        <v>3</v>
      </c>
    </row>
    <row r="116" spans="1:3">
      <c r="A116" s="1" t="s">
        <v>17</v>
      </c>
      <c r="B116" s="1" t="s">
        <v>56</v>
      </c>
      <c r="C116" s="2">
        <v>2293</v>
      </c>
    </row>
    <row r="117" spans="1:3">
      <c r="A117" s="1" t="s">
        <v>17</v>
      </c>
      <c r="B117" s="1" t="s">
        <v>63</v>
      </c>
      <c r="C117" s="2">
        <v>2</v>
      </c>
    </row>
    <row r="118" spans="1:3">
      <c r="A118" s="1" t="s">
        <v>17</v>
      </c>
      <c r="B118" s="1" t="s">
        <v>196</v>
      </c>
      <c r="C118" s="2">
        <v>33</v>
      </c>
    </row>
    <row r="119" spans="1:3">
      <c r="A119" s="1" t="s">
        <v>17</v>
      </c>
      <c r="B119" s="1" t="s">
        <v>202</v>
      </c>
      <c r="C119" s="2">
        <v>159</v>
      </c>
    </row>
    <row r="120" spans="1:3">
      <c r="A120" s="1" t="s">
        <v>18</v>
      </c>
      <c r="B120" s="1" t="s">
        <v>203</v>
      </c>
      <c r="C120" s="2">
        <v>72</v>
      </c>
    </row>
    <row r="121" spans="1:3">
      <c r="A121" s="1" t="s">
        <v>18</v>
      </c>
      <c r="B121" s="1" t="s">
        <v>191</v>
      </c>
      <c r="C121" s="2">
        <v>95</v>
      </c>
    </row>
    <row r="122" spans="1:3">
      <c r="A122" s="1" t="s">
        <v>18</v>
      </c>
      <c r="B122" s="1" t="s">
        <v>58</v>
      </c>
      <c r="C122" s="2">
        <v>215</v>
      </c>
    </row>
    <row r="123" spans="1:3">
      <c r="A123" s="1" t="s">
        <v>18</v>
      </c>
      <c r="B123" s="1" t="s">
        <v>59</v>
      </c>
      <c r="C123" s="2">
        <v>96</v>
      </c>
    </row>
    <row r="124" spans="1:3">
      <c r="A124" s="1" t="s">
        <v>18</v>
      </c>
      <c r="B124" s="1" t="s">
        <v>61</v>
      </c>
      <c r="C124" s="2">
        <v>7</v>
      </c>
    </row>
    <row r="125" spans="1:3">
      <c r="A125" s="1" t="s">
        <v>18</v>
      </c>
      <c r="B125" s="1" t="s">
        <v>56</v>
      </c>
      <c r="C125" s="2">
        <v>2168</v>
      </c>
    </row>
    <row r="126" spans="1:3">
      <c r="A126" s="1" t="s">
        <v>18</v>
      </c>
      <c r="B126" s="1" t="s">
        <v>63</v>
      </c>
      <c r="C126" s="2">
        <v>22</v>
      </c>
    </row>
    <row r="127" spans="1:3">
      <c r="A127" s="1" t="s">
        <v>18</v>
      </c>
      <c r="B127" s="1" t="s">
        <v>198</v>
      </c>
      <c r="C127" s="2">
        <v>147</v>
      </c>
    </row>
    <row r="128" spans="1:3">
      <c r="A128" s="1" t="s">
        <v>18</v>
      </c>
      <c r="B128" s="1" t="s">
        <v>196</v>
      </c>
      <c r="C128" s="2">
        <v>50</v>
      </c>
    </row>
    <row r="129" spans="1:3">
      <c r="A129" s="1" t="s">
        <v>18</v>
      </c>
      <c r="B129" s="1" t="s">
        <v>202</v>
      </c>
      <c r="C129" s="2">
        <v>38</v>
      </c>
    </row>
    <row r="130" spans="1:3">
      <c r="A130" s="1" t="s">
        <v>19</v>
      </c>
      <c r="B130" s="1" t="s">
        <v>2</v>
      </c>
      <c r="C130" s="2">
        <v>2</v>
      </c>
    </row>
    <row r="131" spans="1:3">
      <c r="A131" s="1" t="s">
        <v>19</v>
      </c>
      <c r="B131" s="1" t="s">
        <v>203</v>
      </c>
      <c r="C131" s="2">
        <v>69</v>
      </c>
    </row>
    <row r="132" spans="1:3">
      <c r="A132" s="1" t="s">
        <v>19</v>
      </c>
      <c r="B132" s="1" t="s">
        <v>191</v>
      </c>
      <c r="C132" s="2">
        <v>101</v>
      </c>
    </row>
    <row r="133" spans="1:3">
      <c r="A133" s="1" t="s">
        <v>19</v>
      </c>
      <c r="B133" s="1" t="s">
        <v>58</v>
      </c>
      <c r="C133" s="2">
        <v>181</v>
      </c>
    </row>
    <row r="134" spans="1:3">
      <c r="A134" s="1" t="s">
        <v>19</v>
      </c>
      <c r="B134" s="1" t="s">
        <v>59</v>
      </c>
      <c r="C134" s="2">
        <v>230</v>
      </c>
    </row>
    <row r="135" spans="1:3">
      <c r="A135" s="1" t="s">
        <v>19</v>
      </c>
      <c r="B135" s="1" t="s">
        <v>61</v>
      </c>
      <c r="C135" s="2">
        <v>2</v>
      </c>
    </row>
    <row r="136" spans="1:3">
      <c r="A136" s="1" t="s">
        <v>19</v>
      </c>
      <c r="B136" s="1" t="s">
        <v>60</v>
      </c>
      <c r="C136" s="2">
        <v>3</v>
      </c>
    </row>
    <row r="137" spans="1:3">
      <c r="A137" s="1" t="s">
        <v>19</v>
      </c>
      <c r="B137" s="1" t="s">
        <v>56</v>
      </c>
      <c r="C137" s="2">
        <v>2480</v>
      </c>
    </row>
    <row r="138" spans="1:3">
      <c r="A138" s="1" t="s">
        <v>19</v>
      </c>
      <c r="B138" s="1" t="s">
        <v>63</v>
      </c>
      <c r="C138" s="2">
        <v>114</v>
      </c>
    </row>
    <row r="139" spans="1:3">
      <c r="A139" s="1" t="s">
        <v>19</v>
      </c>
      <c r="B139" s="1" t="s">
        <v>198</v>
      </c>
      <c r="C139" s="2">
        <v>290</v>
      </c>
    </row>
    <row r="140" spans="1:3">
      <c r="A140" s="1" t="s">
        <v>19</v>
      </c>
      <c r="B140" s="1" t="s">
        <v>196</v>
      </c>
      <c r="C140" s="2">
        <v>30</v>
      </c>
    </row>
    <row r="141" spans="1:3">
      <c r="A141" s="1" t="s">
        <v>20</v>
      </c>
      <c r="B141" s="1" t="s">
        <v>203</v>
      </c>
      <c r="C141" s="2">
        <v>100</v>
      </c>
    </row>
    <row r="142" spans="1:3">
      <c r="A142" s="1" t="s">
        <v>20</v>
      </c>
      <c r="B142" s="1" t="s">
        <v>191</v>
      </c>
      <c r="C142" s="2">
        <v>134</v>
      </c>
    </row>
    <row r="143" spans="1:3">
      <c r="A143" s="1" t="s">
        <v>20</v>
      </c>
      <c r="B143" s="1" t="s">
        <v>58</v>
      </c>
      <c r="C143" s="2">
        <v>148</v>
      </c>
    </row>
    <row r="144" spans="1:3">
      <c r="A144" s="1" t="s">
        <v>20</v>
      </c>
      <c r="B144" s="1" t="s">
        <v>59</v>
      </c>
      <c r="C144" s="2">
        <v>53</v>
      </c>
    </row>
    <row r="145" spans="1:3">
      <c r="A145" s="1" t="s">
        <v>20</v>
      </c>
      <c r="B145" s="1" t="s">
        <v>61</v>
      </c>
      <c r="C145" s="2">
        <v>3</v>
      </c>
    </row>
    <row r="146" spans="1:3">
      <c r="A146" s="1" t="s">
        <v>20</v>
      </c>
      <c r="B146" s="1" t="s">
        <v>60</v>
      </c>
      <c r="C146" s="2">
        <v>1</v>
      </c>
    </row>
    <row r="147" spans="1:3">
      <c r="A147" s="1" t="s">
        <v>20</v>
      </c>
      <c r="B147" s="1" t="s">
        <v>56</v>
      </c>
      <c r="C147" s="2">
        <v>3342</v>
      </c>
    </row>
    <row r="148" spans="1:3">
      <c r="A148" s="1" t="s">
        <v>20</v>
      </c>
      <c r="B148" s="1" t="s">
        <v>63</v>
      </c>
      <c r="C148" s="2">
        <v>138</v>
      </c>
    </row>
    <row r="149" spans="1:3">
      <c r="A149" s="1" t="s">
        <v>20</v>
      </c>
      <c r="B149" s="1" t="s">
        <v>198</v>
      </c>
      <c r="C149" s="2">
        <v>171</v>
      </c>
    </row>
    <row r="150" spans="1:3">
      <c r="A150" s="1" t="s">
        <v>21</v>
      </c>
      <c r="B150" s="1" t="s">
        <v>2</v>
      </c>
      <c r="C150" s="2">
        <v>3</v>
      </c>
    </row>
    <row r="151" spans="1:3">
      <c r="A151" s="1" t="s">
        <v>21</v>
      </c>
      <c r="B151" s="1" t="s">
        <v>203</v>
      </c>
      <c r="C151" s="2">
        <v>191</v>
      </c>
    </row>
    <row r="152" spans="1:3">
      <c r="A152" s="1" t="s">
        <v>21</v>
      </c>
      <c r="B152" s="1" t="s">
        <v>191</v>
      </c>
      <c r="C152" s="2">
        <v>122</v>
      </c>
    </row>
    <row r="153" spans="1:3">
      <c r="A153" s="1" t="s">
        <v>21</v>
      </c>
      <c r="B153" s="1" t="s">
        <v>58</v>
      </c>
      <c r="C153" s="2">
        <v>146</v>
      </c>
    </row>
    <row r="154" spans="1:3">
      <c r="A154" s="1" t="s">
        <v>21</v>
      </c>
      <c r="B154" s="1" t="s">
        <v>59</v>
      </c>
      <c r="C154" s="2">
        <v>48</v>
      </c>
    </row>
    <row r="155" spans="1:3">
      <c r="A155" s="1" t="s">
        <v>21</v>
      </c>
      <c r="B155" s="1" t="s">
        <v>61</v>
      </c>
      <c r="C155" s="2">
        <v>32</v>
      </c>
    </row>
    <row r="156" spans="1:3">
      <c r="A156" s="1" t="s">
        <v>21</v>
      </c>
      <c r="B156" s="1" t="s">
        <v>56</v>
      </c>
      <c r="C156" s="2">
        <v>3127</v>
      </c>
    </row>
    <row r="157" spans="1:3">
      <c r="A157" s="1" t="s">
        <v>21</v>
      </c>
      <c r="B157" s="1" t="s">
        <v>63</v>
      </c>
      <c r="C157" s="2">
        <v>15</v>
      </c>
    </row>
    <row r="158" spans="1:3">
      <c r="A158" s="1" t="s">
        <v>21</v>
      </c>
      <c r="B158" s="1" t="s">
        <v>198</v>
      </c>
      <c r="C158" s="2">
        <v>74</v>
      </c>
    </row>
    <row r="159" spans="1:3">
      <c r="A159" s="1" t="s">
        <v>22</v>
      </c>
      <c r="B159" s="1" t="s">
        <v>2</v>
      </c>
      <c r="C159" s="2">
        <v>2</v>
      </c>
    </row>
    <row r="160" spans="1:3">
      <c r="A160" s="1" t="s">
        <v>22</v>
      </c>
      <c r="B160" s="1" t="s">
        <v>203</v>
      </c>
      <c r="C160" s="2">
        <v>239</v>
      </c>
    </row>
    <row r="161" spans="1:3">
      <c r="A161" s="1" t="s">
        <v>22</v>
      </c>
      <c r="B161" s="1" t="s">
        <v>191</v>
      </c>
      <c r="C161" s="2">
        <v>88</v>
      </c>
    </row>
    <row r="162" spans="1:3">
      <c r="A162" s="1" t="s">
        <v>22</v>
      </c>
      <c r="B162" s="1" t="s">
        <v>58</v>
      </c>
      <c r="C162" s="2">
        <v>217</v>
      </c>
    </row>
    <row r="163" spans="1:3">
      <c r="A163" s="1" t="s">
        <v>22</v>
      </c>
      <c r="B163" s="1" t="s">
        <v>61</v>
      </c>
      <c r="C163" s="2">
        <v>189</v>
      </c>
    </row>
    <row r="164" spans="1:3">
      <c r="A164" s="1" t="s">
        <v>22</v>
      </c>
      <c r="B164" s="1" t="s">
        <v>60</v>
      </c>
      <c r="C164" s="2">
        <v>2</v>
      </c>
    </row>
    <row r="165" spans="1:3">
      <c r="A165" s="1" t="s">
        <v>22</v>
      </c>
      <c r="B165" s="1" t="s">
        <v>56</v>
      </c>
      <c r="C165" s="2">
        <v>2383</v>
      </c>
    </row>
    <row r="166" spans="1:3">
      <c r="A166" s="1" t="s">
        <v>22</v>
      </c>
      <c r="B166" s="1" t="s">
        <v>63</v>
      </c>
      <c r="C166" s="2">
        <v>1</v>
      </c>
    </row>
    <row r="167" spans="1:3">
      <c r="A167" s="1" t="s">
        <v>22</v>
      </c>
      <c r="B167" s="1" t="s">
        <v>64</v>
      </c>
      <c r="C167" s="2">
        <v>50</v>
      </c>
    </row>
    <row r="168" spans="1:3">
      <c r="A168" s="1" t="s">
        <v>22</v>
      </c>
      <c r="B168" s="1" t="s">
        <v>198</v>
      </c>
      <c r="C168" s="2">
        <v>90</v>
      </c>
    </row>
    <row r="169" spans="1:3">
      <c r="A169" s="1" t="s">
        <v>22</v>
      </c>
      <c r="B169" s="1" t="s">
        <v>196</v>
      </c>
      <c r="C169" s="2">
        <v>2</v>
      </c>
    </row>
    <row r="170" spans="1:3">
      <c r="A170" s="1" t="s">
        <v>23</v>
      </c>
      <c r="B170" s="1" t="s">
        <v>2</v>
      </c>
      <c r="C170" s="2">
        <v>1</v>
      </c>
    </row>
    <row r="171" spans="1:3">
      <c r="A171" s="1" t="s">
        <v>23</v>
      </c>
      <c r="B171" s="1" t="s">
        <v>203</v>
      </c>
      <c r="C171" s="2">
        <v>163</v>
      </c>
    </row>
    <row r="172" spans="1:3">
      <c r="A172" s="1" t="s">
        <v>23</v>
      </c>
      <c r="B172" s="1" t="s">
        <v>191</v>
      </c>
      <c r="C172" s="2">
        <v>118</v>
      </c>
    </row>
    <row r="173" spans="1:3">
      <c r="A173" s="1" t="s">
        <v>23</v>
      </c>
      <c r="B173" s="1" t="s">
        <v>58</v>
      </c>
      <c r="C173" s="2">
        <v>220</v>
      </c>
    </row>
    <row r="174" spans="1:3">
      <c r="A174" s="1" t="s">
        <v>23</v>
      </c>
      <c r="B174" s="1" t="s">
        <v>61</v>
      </c>
      <c r="C174" s="2">
        <v>203</v>
      </c>
    </row>
    <row r="175" spans="1:3">
      <c r="A175" s="1" t="s">
        <v>23</v>
      </c>
      <c r="B175" s="1" t="s">
        <v>60</v>
      </c>
      <c r="C175" s="2">
        <v>7</v>
      </c>
    </row>
    <row r="176" spans="1:3">
      <c r="A176" s="1" t="s">
        <v>23</v>
      </c>
      <c r="B176" s="1" t="s">
        <v>56</v>
      </c>
      <c r="C176" s="2">
        <v>1922</v>
      </c>
    </row>
    <row r="177" spans="1:3">
      <c r="A177" s="1" t="s">
        <v>23</v>
      </c>
      <c r="B177" s="1" t="s">
        <v>204</v>
      </c>
      <c r="C177" s="2">
        <v>1</v>
      </c>
    </row>
    <row r="178" spans="1:3">
      <c r="A178" s="1" t="s">
        <v>23</v>
      </c>
      <c r="B178" s="1" t="s">
        <v>205</v>
      </c>
      <c r="C178" s="2">
        <v>8</v>
      </c>
    </row>
    <row r="179" spans="1:3">
      <c r="A179" s="1" t="s">
        <v>23</v>
      </c>
      <c r="B179" s="1" t="s">
        <v>63</v>
      </c>
      <c r="C179" s="2">
        <v>10</v>
      </c>
    </row>
    <row r="180" spans="1:3">
      <c r="A180" s="1" t="s">
        <v>23</v>
      </c>
      <c r="B180" s="1" t="s">
        <v>64</v>
      </c>
      <c r="C180" s="2">
        <v>1</v>
      </c>
    </row>
    <row r="181" spans="1:3">
      <c r="A181" s="1" t="s">
        <v>23</v>
      </c>
      <c r="B181" s="1" t="s">
        <v>198</v>
      </c>
      <c r="C181" s="2">
        <v>91</v>
      </c>
    </row>
    <row r="182" spans="1:3">
      <c r="A182" s="1" t="s">
        <v>23</v>
      </c>
      <c r="B182" s="1" t="s">
        <v>196</v>
      </c>
      <c r="C182" s="2">
        <v>1</v>
      </c>
    </row>
    <row r="183" spans="1:3">
      <c r="A183" s="1" t="s">
        <v>24</v>
      </c>
      <c r="B183" s="1" t="s">
        <v>2</v>
      </c>
      <c r="C183" s="2">
        <v>4</v>
      </c>
    </row>
    <row r="184" spans="1:3">
      <c r="A184" s="1" t="s">
        <v>24</v>
      </c>
      <c r="B184" s="1" t="s">
        <v>203</v>
      </c>
      <c r="C184" s="2">
        <v>105</v>
      </c>
    </row>
    <row r="185" spans="1:3">
      <c r="A185" s="1" t="s">
        <v>24</v>
      </c>
      <c r="B185" s="1" t="s">
        <v>191</v>
      </c>
      <c r="C185" s="2">
        <v>149</v>
      </c>
    </row>
    <row r="186" spans="1:3">
      <c r="A186" s="1" t="s">
        <v>24</v>
      </c>
      <c r="B186" s="1" t="s">
        <v>58</v>
      </c>
      <c r="C186" s="2">
        <v>72</v>
      </c>
    </row>
    <row r="187" spans="1:3">
      <c r="A187" s="1" t="s">
        <v>24</v>
      </c>
      <c r="B187" s="1" t="s">
        <v>59</v>
      </c>
      <c r="C187" s="2">
        <v>57</v>
      </c>
    </row>
    <row r="188" spans="1:3">
      <c r="A188" s="1" t="s">
        <v>24</v>
      </c>
      <c r="B188" s="1" t="s">
        <v>61</v>
      </c>
      <c r="C188" s="2">
        <v>242</v>
      </c>
    </row>
    <row r="189" spans="1:3">
      <c r="A189" s="1" t="s">
        <v>24</v>
      </c>
      <c r="B189" s="1" t="s">
        <v>60</v>
      </c>
      <c r="C189" s="2">
        <v>1</v>
      </c>
    </row>
    <row r="190" spans="1:3">
      <c r="A190" s="1" t="s">
        <v>24</v>
      </c>
      <c r="B190" s="1" t="s">
        <v>56</v>
      </c>
      <c r="C190" s="2">
        <v>1624</v>
      </c>
    </row>
    <row r="191" spans="1:3">
      <c r="A191" s="1" t="s">
        <v>24</v>
      </c>
      <c r="B191" s="1" t="s">
        <v>205</v>
      </c>
      <c r="C191" s="2">
        <v>16</v>
      </c>
    </row>
    <row r="192" spans="1:3">
      <c r="A192" s="1" t="s">
        <v>24</v>
      </c>
      <c r="B192" s="1" t="s">
        <v>63</v>
      </c>
      <c r="C192" s="2">
        <v>95</v>
      </c>
    </row>
    <row r="193" spans="1:3">
      <c r="A193" s="1" t="s">
        <v>24</v>
      </c>
      <c r="B193" s="1" t="s">
        <v>198</v>
      </c>
      <c r="C193" s="2">
        <v>134</v>
      </c>
    </row>
    <row r="194" spans="1:3">
      <c r="A194" s="1" t="s">
        <v>24</v>
      </c>
      <c r="B194" s="1" t="s">
        <v>196</v>
      </c>
      <c r="C194" s="2">
        <v>1</v>
      </c>
    </row>
    <row r="195" spans="1:3">
      <c r="A195" s="1" t="s">
        <v>25</v>
      </c>
      <c r="B195" s="1" t="s">
        <v>203</v>
      </c>
      <c r="C195" s="2">
        <v>166</v>
      </c>
    </row>
    <row r="196" spans="1:3">
      <c r="A196" s="1" t="s">
        <v>25</v>
      </c>
      <c r="B196" s="1" t="s">
        <v>191</v>
      </c>
      <c r="C196" s="2">
        <v>148</v>
      </c>
    </row>
    <row r="197" spans="1:3">
      <c r="A197" s="1" t="s">
        <v>25</v>
      </c>
      <c r="B197" s="1" t="s">
        <v>58</v>
      </c>
      <c r="C197" s="2">
        <v>316</v>
      </c>
    </row>
    <row r="198" spans="1:3">
      <c r="A198" s="1" t="s">
        <v>25</v>
      </c>
      <c r="B198" s="1" t="s">
        <v>59</v>
      </c>
      <c r="C198" s="2">
        <v>117</v>
      </c>
    </row>
    <row r="199" spans="1:3">
      <c r="A199" s="1" t="s">
        <v>25</v>
      </c>
      <c r="B199" s="1" t="s">
        <v>61</v>
      </c>
      <c r="C199" s="2">
        <v>272</v>
      </c>
    </row>
    <row r="200" spans="1:3">
      <c r="A200" s="1" t="s">
        <v>25</v>
      </c>
      <c r="B200" s="1" t="s">
        <v>56</v>
      </c>
      <c r="C200" s="2">
        <v>2130</v>
      </c>
    </row>
    <row r="201" spans="1:3">
      <c r="A201" s="1" t="s">
        <v>25</v>
      </c>
      <c r="B201" s="1" t="s">
        <v>205</v>
      </c>
      <c r="C201" s="2">
        <v>7</v>
      </c>
    </row>
    <row r="202" spans="1:3">
      <c r="A202" s="1" t="s">
        <v>25</v>
      </c>
      <c r="B202" s="1" t="s">
        <v>63</v>
      </c>
      <c r="C202" s="2">
        <v>79</v>
      </c>
    </row>
    <row r="203" spans="1:3">
      <c r="A203" s="1" t="s">
        <v>25</v>
      </c>
      <c r="B203" s="1" t="s">
        <v>198</v>
      </c>
      <c r="C203" s="2">
        <v>231</v>
      </c>
    </row>
    <row r="204" spans="1:3">
      <c r="A204" s="1" t="s">
        <v>25</v>
      </c>
      <c r="B204" s="1" t="s">
        <v>196</v>
      </c>
      <c r="C204" s="2">
        <v>4</v>
      </c>
    </row>
    <row r="205" spans="1:3">
      <c r="A205" s="1" t="s">
        <v>26</v>
      </c>
      <c r="B205" s="1" t="s">
        <v>2</v>
      </c>
      <c r="C205" s="2">
        <v>8</v>
      </c>
    </row>
    <row r="206" spans="1:3">
      <c r="A206" s="1" t="s">
        <v>26</v>
      </c>
      <c r="B206" s="1" t="s">
        <v>203</v>
      </c>
      <c r="C206" s="2">
        <v>412</v>
      </c>
    </row>
    <row r="207" spans="1:3">
      <c r="A207" s="1" t="s">
        <v>26</v>
      </c>
      <c r="B207" s="1" t="s">
        <v>191</v>
      </c>
      <c r="C207" s="2">
        <v>126</v>
      </c>
    </row>
    <row r="208" spans="1:3">
      <c r="A208" s="1" t="s">
        <v>26</v>
      </c>
      <c r="B208" s="1" t="s">
        <v>206</v>
      </c>
      <c r="C208" s="2">
        <v>1</v>
      </c>
    </row>
    <row r="209" spans="1:3">
      <c r="A209" s="1" t="s">
        <v>26</v>
      </c>
      <c r="B209" s="1" t="s">
        <v>58</v>
      </c>
      <c r="C209" s="2">
        <v>100</v>
      </c>
    </row>
    <row r="210" spans="1:3">
      <c r="A210" s="1" t="s">
        <v>26</v>
      </c>
      <c r="B210" s="1" t="s">
        <v>59</v>
      </c>
      <c r="C210" s="2">
        <v>177</v>
      </c>
    </row>
    <row r="211" spans="1:3">
      <c r="A211" s="1" t="s">
        <v>26</v>
      </c>
      <c r="B211" s="1" t="s">
        <v>61</v>
      </c>
      <c r="C211" s="2">
        <v>244</v>
      </c>
    </row>
    <row r="212" spans="1:3">
      <c r="A212" s="1" t="s">
        <v>26</v>
      </c>
      <c r="B212" s="1" t="s">
        <v>60</v>
      </c>
      <c r="C212" s="2">
        <v>1</v>
      </c>
    </row>
    <row r="213" spans="1:3">
      <c r="A213" s="1" t="s">
        <v>26</v>
      </c>
      <c r="B213" s="1" t="s">
        <v>56</v>
      </c>
      <c r="C213" s="2">
        <v>2260</v>
      </c>
    </row>
    <row r="214" spans="1:3">
      <c r="A214" s="1" t="s">
        <v>26</v>
      </c>
      <c r="B214" s="1" t="s">
        <v>205</v>
      </c>
      <c r="C214" s="2">
        <v>22</v>
      </c>
    </row>
    <row r="215" spans="1:3">
      <c r="A215" s="1" t="s">
        <v>26</v>
      </c>
      <c r="B215" s="1" t="s">
        <v>198</v>
      </c>
      <c r="C215" s="2">
        <v>377</v>
      </c>
    </row>
    <row r="216" spans="1:3">
      <c r="A216" s="1" t="s">
        <v>26</v>
      </c>
      <c r="B216" s="1" t="s">
        <v>196</v>
      </c>
      <c r="C216" s="2">
        <v>7</v>
      </c>
    </row>
    <row r="217" spans="1:3">
      <c r="A217" s="1" t="s">
        <v>27</v>
      </c>
      <c r="B217" s="1" t="s">
        <v>203</v>
      </c>
      <c r="C217" s="2">
        <v>176</v>
      </c>
    </row>
    <row r="218" spans="1:3">
      <c r="A218" s="1" t="s">
        <v>27</v>
      </c>
      <c r="B218" s="1" t="s">
        <v>191</v>
      </c>
      <c r="C218" s="2">
        <v>251</v>
      </c>
    </row>
    <row r="219" spans="1:3">
      <c r="A219" s="1" t="s">
        <v>27</v>
      </c>
      <c r="B219" s="1" t="s">
        <v>206</v>
      </c>
      <c r="C219" s="2">
        <v>15</v>
      </c>
    </row>
    <row r="220" spans="1:3">
      <c r="A220" s="1" t="s">
        <v>27</v>
      </c>
      <c r="B220" s="1" t="s">
        <v>58</v>
      </c>
      <c r="C220" s="2">
        <v>44</v>
      </c>
    </row>
    <row r="221" spans="1:3">
      <c r="A221" s="1" t="s">
        <v>27</v>
      </c>
      <c r="B221" s="1" t="s">
        <v>59</v>
      </c>
      <c r="C221" s="2">
        <v>171</v>
      </c>
    </row>
    <row r="222" spans="1:3">
      <c r="A222" s="1" t="s">
        <v>27</v>
      </c>
      <c r="B222" s="1" t="s">
        <v>61</v>
      </c>
      <c r="C222" s="2">
        <v>59</v>
      </c>
    </row>
    <row r="223" spans="1:3">
      <c r="A223" s="1" t="s">
        <v>27</v>
      </c>
      <c r="B223" s="1" t="s">
        <v>60</v>
      </c>
      <c r="C223" s="2">
        <v>1</v>
      </c>
    </row>
    <row r="224" spans="1:3">
      <c r="A224" s="1" t="s">
        <v>27</v>
      </c>
      <c r="B224" s="1" t="s">
        <v>56</v>
      </c>
      <c r="C224" s="2">
        <v>341</v>
      </c>
    </row>
    <row r="225" spans="1:3">
      <c r="A225" s="1" t="s">
        <v>27</v>
      </c>
      <c r="B225" s="1" t="s">
        <v>205</v>
      </c>
      <c r="C225" s="2">
        <v>12</v>
      </c>
    </row>
    <row r="226" spans="1:3">
      <c r="A226" s="1" t="s">
        <v>27</v>
      </c>
      <c r="B226" s="1" t="s">
        <v>198</v>
      </c>
      <c r="C226" s="2">
        <v>994</v>
      </c>
    </row>
    <row r="227" spans="1:3">
      <c r="A227" s="1" t="s">
        <v>27</v>
      </c>
      <c r="B227" s="1" t="s">
        <v>196</v>
      </c>
      <c r="C227" s="2">
        <v>6</v>
      </c>
    </row>
    <row r="228" spans="1:3">
      <c r="A228" s="1" t="s">
        <v>28</v>
      </c>
      <c r="B228" s="1" t="s">
        <v>203</v>
      </c>
      <c r="C228" s="2">
        <v>28</v>
      </c>
    </row>
    <row r="229" spans="1:3">
      <c r="A229" s="1" t="s">
        <v>28</v>
      </c>
      <c r="B229" s="1" t="s">
        <v>206</v>
      </c>
      <c r="C229" s="2">
        <v>118</v>
      </c>
    </row>
    <row r="230" spans="1:3">
      <c r="A230" s="1" t="s">
        <v>28</v>
      </c>
      <c r="B230" s="1" t="s">
        <v>58</v>
      </c>
      <c r="C230" s="2">
        <v>21</v>
      </c>
    </row>
    <row r="231" spans="1:3">
      <c r="A231" s="1" t="s">
        <v>28</v>
      </c>
      <c r="B231" s="1" t="s">
        <v>59</v>
      </c>
      <c r="C231" s="2">
        <v>257</v>
      </c>
    </row>
    <row r="232" spans="1:3">
      <c r="A232" s="1" t="s">
        <v>28</v>
      </c>
      <c r="B232" s="1" t="s">
        <v>61</v>
      </c>
      <c r="C232" s="2">
        <v>43</v>
      </c>
    </row>
    <row r="233" spans="1:3">
      <c r="A233" s="1" t="s">
        <v>28</v>
      </c>
      <c r="B233" s="1" t="s">
        <v>60</v>
      </c>
      <c r="C233" s="2">
        <v>1</v>
      </c>
    </row>
    <row r="234" spans="1:3">
      <c r="A234" s="1" t="s">
        <v>28</v>
      </c>
      <c r="B234" s="1" t="s">
        <v>57</v>
      </c>
      <c r="C234" s="2">
        <v>96</v>
      </c>
    </row>
    <row r="235" spans="1:3">
      <c r="A235" s="1" t="s">
        <v>28</v>
      </c>
      <c r="B235" s="1" t="s">
        <v>56</v>
      </c>
      <c r="C235" s="2">
        <v>864</v>
      </c>
    </row>
    <row r="236" spans="1:3">
      <c r="A236" s="1" t="s">
        <v>28</v>
      </c>
      <c r="B236" s="1" t="s">
        <v>205</v>
      </c>
      <c r="C236" s="2">
        <v>10</v>
      </c>
    </row>
    <row r="237" spans="1:3">
      <c r="A237" s="1" t="s">
        <v>28</v>
      </c>
      <c r="B237" s="1" t="s">
        <v>198</v>
      </c>
      <c r="C237" s="2">
        <v>334</v>
      </c>
    </row>
    <row r="238" spans="1:3">
      <c r="A238" s="1" t="s">
        <v>28</v>
      </c>
      <c r="B238" s="1" t="s">
        <v>196</v>
      </c>
      <c r="C238" s="2">
        <v>5</v>
      </c>
    </row>
    <row r="239" spans="1:3">
      <c r="A239" s="1" t="s">
        <v>29</v>
      </c>
      <c r="B239" s="1" t="s">
        <v>203</v>
      </c>
      <c r="C239" s="2">
        <v>30</v>
      </c>
    </row>
    <row r="240" spans="1:3">
      <c r="A240" s="1" t="s">
        <v>29</v>
      </c>
      <c r="B240" s="1" t="s">
        <v>206</v>
      </c>
      <c r="C240" s="2">
        <v>214</v>
      </c>
    </row>
    <row r="241" spans="1:3">
      <c r="A241" s="1" t="s">
        <v>29</v>
      </c>
      <c r="B241" s="1" t="s">
        <v>58</v>
      </c>
      <c r="C241" s="2">
        <v>109</v>
      </c>
    </row>
    <row r="242" spans="1:3">
      <c r="A242" s="1" t="s">
        <v>29</v>
      </c>
      <c r="B242" s="1" t="s">
        <v>59</v>
      </c>
      <c r="C242" s="2">
        <v>451</v>
      </c>
    </row>
    <row r="243" spans="1:3">
      <c r="A243" s="1" t="s">
        <v>29</v>
      </c>
      <c r="B243" s="1" t="s">
        <v>61</v>
      </c>
      <c r="C243" s="2">
        <v>194</v>
      </c>
    </row>
    <row r="244" spans="1:3">
      <c r="A244" s="1" t="s">
        <v>29</v>
      </c>
      <c r="B244" s="1" t="s">
        <v>57</v>
      </c>
      <c r="C244" s="2">
        <v>107</v>
      </c>
    </row>
    <row r="245" spans="1:3">
      <c r="A245" s="1" t="s">
        <v>29</v>
      </c>
      <c r="B245" s="1" t="s">
        <v>56</v>
      </c>
      <c r="C245" s="2">
        <v>1308</v>
      </c>
    </row>
    <row r="246" spans="1:3">
      <c r="A246" s="1" t="s">
        <v>29</v>
      </c>
      <c r="B246" s="1" t="s">
        <v>205</v>
      </c>
      <c r="C246" s="2">
        <v>17</v>
      </c>
    </row>
    <row r="247" spans="1:3">
      <c r="A247" s="1" t="s">
        <v>29</v>
      </c>
      <c r="B247" s="1" t="s">
        <v>63</v>
      </c>
      <c r="C247" s="2">
        <v>33</v>
      </c>
    </row>
    <row r="248" spans="1:3">
      <c r="A248" s="1" t="s">
        <v>29</v>
      </c>
      <c r="B248" s="1" t="s">
        <v>198</v>
      </c>
      <c r="C248" s="2">
        <v>369</v>
      </c>
    </row>
    <row r="249" spans="1:3">
      <c r="A249" s="1" t="s">
        <v>29</v>
      </c>
      <c r="B249" s="1" t="s">
        <v>196</v>
      </c>
      <c r="C249" s="2">
        <v>14</v>
      </c>
    </row>
    <row r="250" spans="1:3">
      <c r="A250" s="1" t="s">
        <v>30</v>
      </c>
      <c r="B250" s="1" t="s">
        <v>203</v>
      </c>
      <c r="C250" s="2">
        <v>64</v>
      </c>
    </row>
    <row r="251" spans="1:3">
      <c r="A251" s="1" t="s">
        <v>30</v>
      </c>
      <c r="B251" s="1" t="s">
        <v>207</v>
      </c>
      <c r="C251" s="2">
        <v>143</v>
      </c>
    </row>
    <row r="252" spans="1:3">
      <c r="A252" s="1" t="s">
        <v>30</v>
      </c>
      <c r="B252" s="1" t="s">
        <v>206</v>
      </c>
      <c r="C252" s="2">
        <v>182</v>
      </c>
    </row>
    <row r="253" spans="1:3">
      <c r="A253" s="1" t="s">
        <v>30</v>
      </c>
      <c r="B253" s="1" t="s">
        <v>58</v>
      </c>
      <c r="C253" s="2">
        <v>397</v>
      </c>
    </row>
    <row r="254" spans="1:3">
      <c r="A254" s="1" t="s">
        <v>30</v>
      </c>
      <c r="B254" s="1" t="s">
        <v>65</v>
      </c>
      <c r="C254" s="2">
        <v>6</v>
      </c>
    </row>
    <row r="255" spans="1:3">
      <c r="A255" s="1" t="s">
        <v>30</v>
      </c>
      <c r="B255" s="1" t="s">
        <v>59</v>
      </c>
      <c r="C255" s="2">
        <v>173</v>
      </c>
    </row>
    <row r="256" spans="1:3">
      <c r="A256" s="1" t="s">
        <v>30</v>
      </c>
      <c r="B256" s="1" t="s">
        <v>61</v>
      </c>
      <c r="C256" s="2">
        <v>165</v>
      </c>
    </row>
    <row r="257" spans="1:3">
      <c r="A257" s="1" t="s">
        <v>30</v>
      </c>
      <c r="B257" s="1" t="s">
        <v>57</v>
      </c>
      <c r="C257" s="2">
        <v>94</v>
      </c>
    </row>
    <row r="258" spans="1:3">
      <c r="A258" s="1" t="s">
        <v>30</v>
      </c>
      <c r="B258" s="1" t="s">
        <v>56</v>
      </c>
      <c r="C258" s="2">
        <v>1172</v>
      </c>
    </row>
    <row r="259" spans="1:3">
      <c r="A259" s="1" t="s">
        <v>30</v>
      </c>
      <c r="B259" s="1" t="s">
        <v>205</v>
      </c>
      <c r="C259" s="2">
        <v>21</v>
      </c>
    </row>
    <row r="260" spans="1:3">
      <c r="A260" s="1" t="s">
        <v>30</v>
      </c>
      <c r="B260" s="1" t="s">
        <v>198</v>
      </c>
      <c r="C260" s="2">
        <v>83</v>
      </c>
    </row>
    <row r="261" spans="1:3">
      <c r="A261" s="1" t="s">
        <v>30</v>
      </c>
      <c r="B261" s="1" t="s">
        <v>66</v>
      </c>
      <c r="C261" s="2">
        <v>5</v>
      </c>
    </row>
    <row r="262" spans="1:3">
      <c r="A262" s="1" t="s">
        <v>30</v>
      </c>
      <c r="B262" s="1" t="s">
        <v>196</v>
      </c>
      <c r="C262" s="2">
        <v>9</v>
      </c>
    </row>
    <row r="263" spans="1:3">
      <c r="A263" s="1" t="s">
        <v>31</v>
      </c>
      <c r="B263" s="1" t="s">
        <v>207</v>
      </c>
      <c r="C263" s="2">
        <v>450</v>
      </c>
    </row>
    <row r="264" spans="1:3">
      <c r="A264" s="1" t="s">
        <v>31</v>
      </c>
      <c r="B264" s="1" t="s">
        <v>206</v>
      </c>
      <c r="C264" s="2">
        <v>243</v>
      </c>
    </row>
    <row r="265" spans="1:3">
      <c r="A265" s="1" t="s">
        <v>31</v>
      </c>
      <c r="B265" s="1" t="s">
        <v>58</v>
      </c>
      <c r="C265" s="2">
        <v>258</v>
      </c>
    </row>
    <row r="266" spans="1:3">
      <c r="A266" s="1" t="s">
        <v>31</v>
      </c>
      <c r="B266" s="1" t="s">
        <v>65</v>
      </c>
      <c r="C266" s="2">
        <v>27</v>
      </c>
    </row>
    <row r="267" spans="1:3">
      <c r="A267" s="1" t="s">
        <v>31</v>
      </c>
      <c r="B267" s="1" t="s">
        <v>59</v>
      </c>
      <c r="C267" s="2">
        <v>176</v>
      </c>
    </row>
    <row r="268" spans="1:3">
      <c r="A268" s="1" t="s">
        <v>31</v>
      </c>
      <c r="B268" s="1" t="s">
        <v>61</v>
      </c>
      <c r="C268" s="2">
        <v>165</v>
      </c>
    </row>
    <row r="269" spans="1:3">
      <c r="A269" s="1" t="s">
        <v>31</v>
      </c>
      <c r="B269" s="1" t="s">
        <v>60</v>
      </c>
      <c r="C269" s="2">
        <v>2</v>
      </c>
    </row>
    <row r="270" spans="1:3">
      <c r="A270" s="1" t="s">
        <v>31</v>
      </c>
      <c r="B270" s="1" t="s">
        <v>57</v>
      </c>
      <c r="C270" s="2">
        <v>77</v>
      </c>
    </row>
    <row r="271" spans="1:3">
      <c r="A271" s="1" t="s">
        <v>31</v>
      </c>
      <c r="B271" s="1" t="s">
        <v>56</v>
      </c>
      <c r="C271" s="2">
        <v>1300</v>
      </c>
    </row>
    <row r="272" spans="1:3">
      <c r="A272" s="1" t="s">
        <v>31</v>
      </c>
      <c r="B272" s="1" t="s">
        <v>205</v>
      </c>
      <c r="C272" s="2">
        <v>42</v>
      </c>
    </row>
    <row r="273" spans="1:3">
      <c r="A273" s="1" t="s">
        <v>31</v>
      </c>
      <c r="B273" s="1" t="s">
        <v>208</v>
      </c>
      <c r="C273" s="2">
        <v>180</v>
      </c>
    </row>
    <row r="274" spans="1:3">
      <c r="A274" s="1" t="s">
        <v>31</v>
      </c>
      <c r="B274" s="1" t="s">
        <v>196</v>
      </c>
      <c r="C274" s="2">
        <v>16</v>
      </c>
    </row>
    <row r="275" spans="1:3">
      <c r="A275" s="1" t="s">
        <v>32</v>
      </c>
      <c r="B275" s="1" t="s">
        <v>207</v>
      </c>
      <c r="C275" s="2">
        <v>353</v>
      </c>
    </row>
    <row r="276" spans="1:3">
      <c r="A276" s="1" t="s">
        <v>32</v>
      </c>
      <c r="B276" s="1" t="s">
        <v>206</v>
      </c>
      <c r="C276" s="2">
        <v>256</v>
      </c>
    </row>
    <row r="277" spans="1:3">
      <c r="A277" s="1" t="s">
        <v>32</v>
      </c>
      <c r="B277" s="1" t="s">
        <v>58</v>
      </c>
      <c r="C277" s="2">
        <v>405</v>
      </c>
    </row>
    <row r="278" spans="1:3">
      <c r="A278" s="1" t="s">
        <v>32</v>
      </c>
      <c r="B278" s="1" t="s">
        <v>65</v>
      </c>
      <c r="C278" s="2">
        <v>22</v>
      </c>
    </row>
    <row r="279" spans="1:3">
      <c r="A279" s="1" t="s">
        <v>32</v>
      </c>
      <c r="B279" s="1" t="s">
        <v>59</v>
      </c>
      <c r="C279" s="2">
        <v>163</v>
      </c>
    </row>
    <row r="280" spans="1:3">
      <c r="A280" s="1" t="s">
        <v>32</v>
      </c>
      <c r="B280" s="1" t="s">
        <v>61</v>
      </c>
      <c r="C280" s="2">
        <v>184</v>
      </c>
    </row>
    <row r="281" spans="1:3">
      <c r="A281" s="1" t="s">
        <v>32</v>
      </c>
      <c r="B281" s="1" t="s">
        <v>57</v>
      </c>
      <c r="C281" s="2">
        <v>98</v>
      </c>
    </row>
    <row r="282" spans="1:3">
      <c r="A282" s="1" t="s">
        <v>32</v>
      </c>
      <c r="B282" s="1" t="s">
        <v>56</v>
      </c>
      <c r="C282" s="2">
        <v>1128</v>
      </c>
    </row>
    <row r="283" spans="1:3">
      <c r="A283" s="1" t="s">
        <v>32</v>
      </c>
      <c r="B283" s="1" t="s">
        <v>205</v>
      </c>
      <c r="C283" s="2">
        <v>21</v>
      </c>
    </row>
    <row r="284" spans="1:3">
      <c r="A284" s="1" t="s">
        <v>32</v>
      </c>
      <c r="B284" s="1" t="s">
        <v>208</v>
      </c>
      <c r="C284" s="2">
        <v>130</v>
      </c>
    </row>
    <row r="285" spans="1:3">
      <c r="A285" s="1" t="s">
        <v>32</v>
      </c>
      <c r="B285" s="1" t="s">
        <v>196</v>
      </c>
      <c r="C285" s="2">
        <v>7</v>
      </c>
    </row>
    <row r="286" spans="1:3">
      <c r="A286" s="1" t="s">
        <v>33</v>
      </c>
      <c r="B286" s="1" t="s">
        <v>207</v>
      </c>
      <c r="C286" s="2">
        <v>395</v>
      </c>
    </row>
    <row r="287" spans="1:3">
      <c r="A287" s="1" t="s">
        <v>33</v>
      </c>
      <c r="B287" s="1" t="s">
        <v>206</v>
      </c>
      <c r="C287" s="2">
        <v>229</v>
      </c>
    </row>
    <row r="288" spans="1:3">
      <c r="A288" s="1" t="s">
        <v>33</v>
      </c>
      <c r="B288" s="1" t="s">
        <v>58</v>
      </c>
      <c r="C288" s="2">
        <v>112</v>
      </c>
    </row>
    <row r="289" spans="1:3">
      <c r="A289" s="1" t="s">
        <v>33</v>
      </c>
      <c r="B289" s="1" t="s">
        <v>65</v>
      </c>
      <c r="C289" s="2">
        <v>31</v>
      </c>
    </row>
    <row r="290" spans="1:3">
      <c r="A290" s="1" t="s">
        <v>33</v>
      </c>
      <c r="B290" s="1" t="s">
        <v>59</v>
      </c>
      <c r="C290" s="2">
        <v>182</v>
      </c>
    </row>
    <row r="291" spans="1:3">
      <c r="A291" s="1" t="s">
        <v>33</v>
      </c>
      <c r="B291" s="1" t="s">
        <v>61</v>
      </c>
      <c r="C291" s="2">
        <v>250</v>
      </c>
    </row>
    <row r="292" spans="1:3">
      <c r="A292" s="1" t="s">
        <v>33</v>
      </c>
      <c r="B292" s="1" t="s">
        <v>67</v>
      </c>
      <c r="C292" s="2">
        <v>25</v>
      </c>
    </row>
    <row r="293" spans="1:3">
      <c r="A293" s="1" t="s">
        <v>33</v>
      </c>
      <c r="B293" s="1" t="s">
        <v>60</v>
      </c>
      <c r="C293" s="2">
        <v>1</v>
      </c>
    </row>
    <row r="294" spans="1:3">
      <c r="A294" s="1" t="s">
        <v>33</v>
      </c>
      <c r="B294" s="1" t="s">
        <v>57</v>
      </c>
      <c r="C294" s="2">
        <v>141</v>
      </c>
    </row>
    <row r="295" spans="1:3">
      <c r="A295" s="1" t="s">
        <v>33</v>
      </c>
      <c r="B295" s="1" t="s">
        <v>56</v>
      </c>
      <c r="C295" s="2">
        <v>942</v>
      </c>
    </row>
    <row r="296" spans="1:3">
      <c r="A296" s="1" t="s">
        <v>33</v>
      </c>
      <c r="B296" s="1" t="s">
        <v>205</v>
      </c>
      <c r="C296" s="2">
        <v>19</v>
      </c>
    </row>
    <row r="297" spans="1:3">
      <c r="A297" s="1" t="s">
        <v>33</v>
      </c>
      <c r="B297" s="1" t="s">
        <v>208</v>
      </c>
      <c r="C297" s="2">
        <v>33</v>
      </c>
    </row>
    <row r="298" spans="1:3">
      <c r="A298" s="1" t="s">
        <v>33</v>
      </c>
      <c r="B298" s="1" t="s">
        <v>196</v>
      </c>
      <c r="C298" s="2">
        <v>6</v>
      </c>
    </row>
    <row r="299" spans="1:3">
      <c r="A299" s="1" t="s">
        <v>34</v>
      </c>
      <c r="B299" s="1" t="s">
        <v>209</v>
      </c>
      <c r="C299" s="2">
        <v>115</v>
      </c>
    </row>
    <row r="300" spans="1:3">
      <c r="A300" s="1" t="s">
        <v>34</v>
      </c>
      <c r="B300" s="1" t="s">
        <v>207</v>
      </c>
      <c r="C300" s="2">
        <v>217</v>
      </c>
    </row>
    <row r="301" spans="1:3">
      <c r="A301" s="1" t="s">
        <v>34</v>
      </c>
      <c r="B301" s="1" t="s">
        <v>206</v>
      </c>
      <c r="C301" s="2">
        <v>258</v>
      </c>
    </row>
    <row r="302" spans="1:3">
      <c r="A302" s="1" t="s">
        <v>34</v>
      </c>
      <c r="B302" s="1" t="s">
        <v>58</v>
      </c>
      <c r="C302" s="2">
        <v>195</v>
      </c>
    </row>
    <row r="303" spans="1:3">
      <c r="A303" s="1" t="s">
        <v>34</v>
      </c>
      <c r="B303" s="1" t="s">
        <v>65</v>
      </c>
      <c r="C303" s="2">
        <v>16</v>
      </c>
    </row>
    <row r="304" spans="1:3">
      <c r="A304" s="1" t="s">
        <v>34</v>
      </c>
      <c r="B304" s="1" t="s">
        <v>59</v>
      </c>
      <c r="C304" s="2">
        <v>246</v>
      </c>
    </row>
    <row r="305" spans="1:3">
      <c r="A305" s="1" t="s">
        <v>34</v>
      </c>
      <c r="B305" s="1" t="s">
        <v>61</v>
      </c>
      <c r="C305" s="2">
        <v>185</v>
      </c>
    </row>
    <row r="306" spans="1:3">
      <c r="A306" s="1" t="s">
        <v>34</v>
      </c>
      <c r="B306" s="1" t="s">
        <v>67</v>
      </c>
      <c r="C306" s="2">
        <v>2</v>
      </c>
    </row>
    <row r="307" spans="1:3">
      <c r="A307" s="1" t="s">
        <v>34</v>
      </c>
      <c r="B307" s="1" t="s">
        <v>60</v>
      </c>
      <c r="C307" s="2">
        <v>1</v>
      </c>
    </row>
    <row r="308" spans="1:3">
      <c r="A308" s="1" t="s">
        <v>34</v>
      </c>
      <c r="B308" s="1" t="s">
        <v>57</v>
      </c>
      <c r="C308" s="2">
        <v>97</v>
      </c>
    </row>
    <row r="309" spans="1:3">
      <c r="A309" s="1" t="s">
        <v>34</v>
      </c>
      <c r="B309" s="1" t="s">
        <v>56</v>
      </c>
      <c r="C309" s="2">
        <v>766</v>
      </c>
    </row>
    <row r="310" spans="1:3">
      <c r="A310" s="1" t="s">
        <v>34</v>
      </c>
      <c r="B310" s="1" t="s">
        <v>205</v>
      </c>
      <c r="C310" s="2">
        <v>17</v>
      </c>
    </row>
    <row r="311" spans="1:3">
      <c r="A311" s="1" t="s">
        <v>34</v>
      </c>
      <c r="B311" s="1" t="s">
        <v>196</v>
      </c>
      <c r="C311" s="2">
        <v>7</v>
      </c>
    </row>
    <row r="312" spans="1:3">
      <c r="A312" s="1" t="s">
        <v>35</v>
      </c>
      <c r="B312" s="1" t="s">
        <v>209</v>
      </c>
      <c r="C312" s="2">
        <v>359</v>
      </c>
    </row>
    <row r="313" spans="1:3">
      <c r="A313" s="1" t="s">
        <v>35</v>
      </c>
      <c r="B313" s="1" t="s">
        <v>206</v>
      </c>
      <c r="C313" s="2">
        <v>218</v>
      </c>
    </row>
    <row r="314" spans="1:3">
      <c r="A314" s="1" t="s">
        <v>35</v>
      </c>
      <c r="B314" s="1" t="s">
        <v>58</v>
      </c>
      <c r="C314" s="2">
        <v>1203</v>
      </c>
    </row>
    <row r="315" spans="1:3">
      <c r="A315" s="1" t="s">
        <v>35</v>
      </c>
      <c r="B315" s="1" t="s">
        <v>65</v>
      </c>
      <c r="C315" s="2">
        <v>3</v>
      </c>
    </row>
    <row r="316" spans="1:3">
      <c r="A316" s="1" t="s">
        <v>35</v>
      </c>
      <c r="B316" s="1" t="s">
        <v>59</v>
      </c>
      <c r="C316" s="2">
        <v>737</v>
      </c>
    </row>
    <row r="317" spans="1:3">
      <c r="A317" s="1" t="s">
        <v>35</v>
      </c>
      <c r="B317" s="1" t="s">
        <v>61</v>
      </c>
      <c r="C317" s="2">
        <v>218</v>
      </c>
    </row>
    <row r="318" spans="1:3">
      <c r="A318" s="1" t="s">
        <v>35</v>
      </c>
      <c r="B318" s="1" t="s">
        <v>57</v>
      </c>
      <c r="C318" s="2">
        <v>114</v>
      </c>
    </row>
    <row r="319" spans="1:3">
      <c r="A319" s="1" t="s">
        <v>35</v>
      </c>
      <c r="B319" s="1" t="s">
        <v>56</v>
      </c>
      <c r="C319" s="2">
        <v>1249</v>
      </c>
    </row>
    <row r="320" spans="1:3">
      <c r="A320" s="1" t="s">
        <v>35</v>
      </c>
      <c r="B320" s="1" t="s">
        <v>205</v>
      </c>
      <c r="C320" s="2">
        <v>6</v>
      </c>
    </row>
    <row r="321" spans="1:3">
      <c r="A321" s="1" t="s">
        <v>35</v>
      </c>
      <c r="B321" s="1" t="s">
        <v>196</v>
      </c>
      <c r="C321" s="2">
        <v>3</v>
      </c>
    </row>
    <row r="322" spans="1:3">
      <c r="A322" s="1" t="s">
        <v>36</v>
      </c>
      <c r="B322" s="1" t="s">
        <v>209</v>
      </c>
      <c r="C322" s="2">
        <v>38</v>
      </c>
    </row>
    <row r="323" spans="1:3">
      <c r="A323" s="1" t="s">
        <v>36</v>
      </c>
      <c r="B323" s="1" t="s">
        <v>206</v>
      </c>
      <c r="C323" s="2">
        <v>220</v>
      </c>
    </row>
    <row r="324" spans="1:3">
      <c r="A324" s="1" t="s">
        <v>36</v>
      </c>
      <c r="B324" s="1" t="s">
        <v>58</v>
      </c>
      <c r="C324" s="2">
        <v>944</v>
      </c>
    </row>
    <row r="325" spans="1:3">
      <c r="A325" s="1" t="s">
        <v>36</v>
      </c>
      <c r="B325" s="1" t="s">
        <v>65</v>
      </c>
      <c r="C325" s="2">
        <v>68</v>
      </c>
    </row>
    <row r="326" spans="1:3">
      <c r="A326" s="1" t="s">
        <v>36</v>
      </c>
      <c r="B326" s="1" t="s">
        <v>59</v>
      </c>
      <c r="C326" s="2">
        <v>1167</v>
      </c>
    </row>
    <row r="327" spans="1:3">
      <c r="A327" s="1" t="s">
        <v>36</v>
      </c>
      <c r="B327" s="1" t="s">
        <v>61</v>
      </c>
      <c r="C327" s="2">
        <v>186</v>
      </c>
    </row>
    <row r="328" spans="1:3">
      <c r="A328" s="1" t="s">
        <v>36</v>
      </c>
      <c r="B328" s="1" t="s">
        <v>60</v>
      </c>
      <c r="C328" s="2">
        <v>1</v>
      </c>
    </row>
    <row r="329" spans="1:3">
      <c r="A329" s="1" t="s">
        <v>36</v>
      </c>
      <c r="B329" s="1" t="s">
        <v>57</v>
      </c>
      <c r="C329" s="2">
        <v>160</v>
      </c>
    </row>
    <row r="330" spans="1:3">
      <c r="A330" s="1" t="s">
        <v>36</v>
      </c>
      <c r="B330" s="1" t="s">
        <v>56</v>
      </c>
      <c r="C330" s="2">
        <v>979</v>
      </c>
    </row>
    <row r="331" spans="1:3">
      <c r="A331" s="1" t="s">
        <v>36</v>
      </c>
      <c r="B331" s="1" t="s">
        <v>205</v>
      </c>
      <c r="C331" s="2">
        <v>86</v>
      </c>
    </row>
    <row r="332" spans="1:3">
      <c r="A332" s="1" t="s">
        <v>36</v>
      </c>
      <c r="B332" s="1" t="s">
        <v>64</v>
      </c>
      <c r="C332" s="2">
        <v>1</v>
      </c>
    </row>
    <row r="333" spans="1:3">
      <c r="A333" s="1" t="s">
        <v>36</v>
      </c>
      <c r="B333" s="1" t="s">
        <v>196</v>
      </c>
      <c r="C333" s="2">
        <v>2</v>
      </c>
    </row>
    <row r="334" spans="1:3">
      <c r="A334" s="1" t="s">
        <v>37</v>
      </c>
      <c r="B334" s="1" t="s">
        <v>206</v>
      </c>
      <c r="C334" s="2">
        <v>4</v>
      </c>
    </row>
    <row r="335" spans="1:3">
      <c r="A335" s="1" t="s">
        <v>37</v>
      </c>
      <c r="B335" s="1" t="s">
        <v>58</v>
      </c>
      <c r="C335" s="2">
        <v>804</v>
      </c>
    </row>
    <row r="336" spans="1:3">
      <c r="A336" s="1" t="s">
        <v>37</v>
      </c>
      <c r="B336" s="1" t="s">
        <v>65</v>
      </c>
      <c r="C336" s="2">
        <v>113</v>
      </c>
    </row>
    <row r="337" spans="1:3">
      <c r="A337" s="1" t="s">
        <v>37</v>
      </c>
      <c r="B337" s="1" t="s">
        <v>59</v>
      </c>
      <c r="C337" s="2">
        <v>1666</v>
      </c>
    </row>
    <row r="338" spans="1:3">
      <c r="A338" s="1" t="s">
        <v>37</v>
      </c>
      <c r="B338" s="1" t="s">
        <v>61</v>
      </c>
      <c r="C338" s="2">
        <v>144</v>
      </c>
    </row>
    <row r="339" spans="1:3">
      <c r="A339" s="1" t="s">
        <v>37</v>
      </c>
      <c r="B339" s="1" t="s">
        <v>67</v>
      </c>
      <c r="C339" s="2">
        <v>5</v>
      </c>
    </row>
    <row r="340" spans="1:3">
      <c r="A340" s="1" t="s">
        <v>37</v>
      </c>
      <c r="B340" s="1" t="s">
        <v>60</v>
      </c>
      <c r="C340" s="2">
        <v>2</v>
      </c>
    </row>
    <row r="341" spans="1:3">
      <c r="A341" s="1" t="s">
        <v>37</v>
      </c>
      <c r="B341" s="1" t="s">
        <v>57</v>
      </c>
      <c r="C341" s="2">
        <v>125</v>
      </c>
    </row>
    <row r="342" spans="1:3">
      <c r="A342" s="1" t="s">
        <v>37</v>
      </c>
      <c r="B342" s="1" t="s">
        <v>56</v>
      </c>
      <c r="C342" s="2">
        <v>886</v>
      </c>
    </row>
    <row r="343" spans="1:3">
      <c r="A343" s="1" t="s">
        <v>37</v>
      </c>
      <c r="B343" s="1" t="s">
        <v>205</v>
      </c>
      <c r="C343" s="2">
        <v>1</v>
      </c>
    </row>
    <row r="344" spans="1:3">
      <c r="A344" s="1" t="s">
        <v>37</v>
      </c>
      <c r="B344" s="1" t="s">
        <v>63</v>
      </c>
      <c r="C344" s="2">
        <v>25</v>
      </c>
    </row>
    <row r="345" spans="1:3">
      <c r="A345" s="1" t="s">
        <v>37</v>
      </c>
      <c r="B345" s="1" t="s">
        <v>196</v>
      </c>
      <c r="C345" s="2">
        <v>6</v>
      </c>
    </row>
    <row r="346" spans="1:3">
      <c r="A346" s="1" t="s">
        <v>38</v>
      </c>
      <c r="B346" s="1" t="s">
        <v>58</v>
      </c>
      <c r="C346" s="2">
        <v>668</v>
      </c>
    </row>
    <row r="347" spans="1:3">
      <c r="A347" s="1" t="s">
        <v>38</v>
      </c>
      <c r="B347" s="1" t="s">
        <v>65</v>
      </c>
      <c r="C347" s="2">
        <v>139</v>
      </c>
    </row>
    <row r="348" spans="1:3">
      <c r="A348" s="1" t="s">
        <v>38</v>
      </c>
      <c r="B348" s="1" t="s">
        <v>59</v>
      </c>
      <c r="C348" s="2">
        <v>2676</v>
      </c>
    </row>
    <row r="349" spans="1:3">
      <c r="A349" s="1" t="s">
        <v>38</v>
      </c>
      <c r="B349" s="1" t="s">
        <v>61</v>
      </c>
      <c r="C349" s="2">
        <v>121</v>
      </c>
    </row>
    <row r="350" spans="1:3">
      <c r="A350" s="1" t="s">
        <v>38</v>
      </c>
      <c r="B350" s="1" t="s">
        <v>60</v>
      </c>
      <c r="C350" s="2">
        <v>2</v>
      </c>
    </row>
    <row r="351" spans="1:3">
      <c r="A351" s="1" t="s">
        <v>38</v>
      </c>
      <c r="B351" s="1" t="s">
        <v>57</v>
      </c>
      <c r="C351" s="2">
        <v>141</v>
      </c>
    </row>
    <row r="352" spans="1:3">
      <c r="A352" s="1" t="s">
        <v>38</v>
      </c>
      <c r="B352" s="1" t="s">
        <v>56</v>
      </c>
      <c r="C352" s="2">
        <v>887</v>
      </c>
    </row>
    <row r="353" spans="1:3">
      <c r="A353" s="1" t="s">
        <v>38</v>
      </c>
      <c r="B353" s="1" t="s">
        <v>205</v>
      </c>
      <c r="C353" s="2">
        <v>9</v>
      </c>
    </row>
    <row r="354" spans="1:3">
      <c r="A354" s="1" t="s">
        <v>38</v>
      </c>
      <c r="B354" s="1" t="s">
        <v>196</v>
      </c>
      <c r="C354" s="2">
        <v>2</v>
      </c>
    </row>
    <row r="355" spans="1:3">
      <c r="A355" s="1" t="s">
        <v>39</v>
      </c>
      <c r="B355" s="1" t="s">
        <v>58</v>
      </c>
      <c r="C355" s="2">
        <v>770</v>
      </c>
    </row>
    <row r="356" spans="1:3">
      <c r="A356" s="1" t="s">
        <v>39</v>
      </c>
      <c r="B356" s="1" t="s">
        <v>65</v>
      </c>
      <c r="C356" s="2">
        <v>99</v>
      </c>
    </row>
    <row r="357" spans="1:3">
      <c r="A357" s="1" t="s">
        <v>39</v>
      </c>
      <c r="B357" s="1" t="s">
        <v>59</v>
      </c>
      <c r="C357" s="2">
        <v>1925</v>
      </c>
    </row>
    <row r="358" spans="1:3">
      <c r="A358" s="1" t="s">
        <v>39</v>
      </c>
      <c r="B358" s="1" t="s">
        <v>61</v>
      </c>
      <c r="C358" s="2">
        <v>156</v>
      </c>
    </row>
    <row r="359" spans="1:3">
      <c r="A359" s="1" t="s">
        <v>39</v>
      </c>
      <c r="B359" s="1" t="s">
        <v>60</v>
      </c>
      <c r="C359" s="2">
        <v>4</v>
      </c>
    </row>
    <row r="360" spans="1:3">
      <c r="A360" s="1" t="s">
        <v>39</v>
      </c>
      <c r="B360" s="1" t="s">
        <v>57</v>
      </c>
      <c r="C360" s="2">
        <v>224</v>
      </c>
    </row>
    <row r="361" spans="1:3">
      <c r="A361" s="1" t="s">
        <v>39</v>
      </c>
      <c r="B361" s="1" t="s">
        <v>56</v>
      </c>
      <c r="C361" s="2">
        <v>700</v>
      </c>
    </row>
    <row r="362" spans="1:3">
      <c r="A362" s="1" t="s">
        <v>39</v>
      </c>
      <c r="B362" s="1" t="s">
        <v>66</v>
      </c>
      <c r="C362" s="2">
        <v>15</v>
      </c>
    </row>
    <row r="363" spans="1:3">
      <c r="A363" s="1" t="s">
        <v>39</v>
      </c>
      <c r="B363" s="1" t="s">
        <v>196</v>
      </c>
      <c r="C363" s="2">
        <v>4</v>
      </c>
    </row>
    <row r="364" spans="1:3">
      <c r="A364" s="1" t="s">
        <v>40</v>
      </c>
      <c r="B364" s="1" t="s">
        <v>58</v>
      </c>
      <c r="C364" s="2">
        <v>521</v>
      </c>
    </row>
    <row r="365" spans="1:3">
      <c r="A365" s="1" t="s">
        <v>40</v>
      </c>
      <c r="B365" s="1" t="s">
        <v>65</v>
      </c>
      <c r="C365" s="2">
        <v>17</v>
      </c>
    </row>
    <row r="366" spans="1:3">
      <c r="A366" s="1" t="s">
        <v>40</v>
      </c>
      <c r="B366" s="1" t="s">
        <v>59</v>
      </c>
      <c r="C366" s="2">
        <v>1046</v>
      </c>
    </row>
    <row r="367" spans="1:3">
      <c r="A367" s="1" t="s">
        <v>40</v>
      </c>
      <c r="B367" s="1" t="s">
        <v>61</v>
      </c>
      <c r="C367" s="2">
        <v>30</v>
      </c>
    </row>
    <row r="368" spans="1:3">
      <c r="A368" s="1" t="s">
        <v>40</v>
      </c>
      <c r="B368" s="1" t="s">
        <v>60</v>
      </c>
      <c r="C368" s="2">
        <v>3</v>
      </c>
    </row>
    <row r="369" spans="1:3">
      <c r="A369" s="1" t="s">
        <v>40</v>
      </c>
      <c r="B369" s="1" t="s">
        <v>57</v>
      </c>
      <c r="C369" s="2">
        <v>127</v>
      </c>
    </row>
    <row r="370" spans="1:3">
      <c r="A370" s="1" t="s">
        <v>40</v>
      </c>
      <c r="B370" s="1" t="s">
        <v>56</v>
      </c>
      <c r="C370" s="2">
        <v>609</v>
      </c>
    </row>
    <row r="371" spans="1:3">
      <c r="A371" s="1" t="s">
        <v>40</v>
      </c>
      <c r="B371" s="1" t="s">
        <v>66</v>
      </c>
      <c r="C371" s="2">
        <v>5</v>
      </c>
    </row>
    <row r="372" spans="1:3">
      <c r="A372" s="1" t="s">
        <v>40</v>
      </c>
      <c r="B372" s="1" t="s">
        <v>196</v>
      </c>
      <c r="C372" s="2">
        <v>1</v>
      </c>
    </row>
    <row r="373" spans="1:3">
      <c r="A373" s="1" t="s">
        <v>41</v>
      </c>
      <c r="B373" s="1" t="s">
        <v>210</v>
      </c>
      <c r="C373" s="2">
        <v>2</v>
      </c>
    </row>
    <row r="374" spans="1:3">
      <c r="A374" s="1" t="s">
        <v>41</v>
      </c>
      <c r="B374" s="1" t="s">
        <v>58</v>
      </c>
      <c r="C374" s="2">
        <v>818</v>
      </c>
    </row>
    <row r="375" spans="1:3">
      <c r="A375" s="1" t="s">
        <v>41</v>
      </c>
      <c r="B375" s="1" t="s">
        <v>65</v>
      </c>
      <c r="C375" s="2">
        <v>47</v>
      </c>
    </row>
    <row r="376" spans="1:3">
      <c r="A376" s="1" t="s">
        <v>41</v>
      </c>
      <c r="B376" s="1" t="s">
        <v>59</v>
      </c>
      <c r="C376" s="2">
        <v>1345</v>
      </c>
    </row>
    <row r="377" spans="1:3">
      <c r="A377" s="1" t="s">
        <v>41</v>
      </c>
      <c r="B377" s="1" t="s">
        <v>61</v>
      </c>
      <c r="C377" s="2">
        <v>14</v>
      </c>
    </row>
    <row r="378" spans="1:3">
      <c r="A378" s="1" t="s">
        <v>41</v>
      </c>
      <c r="B378" s="1" t="s">
        <v>67</v>
      </c>
      <c r="C378" s="2">
        <v>8</v>
      </c>
    </row>
    <row r="379" spans="1:3">
      <c r="A379" s="1" t="s">
        <v>41</v>
      </c>
      <c r="B379" s="1" t="s">
        <v>60</v>
      </c>
      <c r="C379" s="2">
        <v>1</v>
      </c>
    </row>
    <row r="380" spans="1:3">
      <c r="A380" s="1" t="s">
        <v>41</v>
      </c>
      <c r="B380" s="1" t="s">
        <v>57</v>
      </c>
      <c r="C380" s="2">
        <v>134</v>
      </c>
    </row>
    <row r="381" spans="1:3">
      <c r="A381" s="1" t="s">
        <v>41</v>
      </c>
      <c r="B381" s="1" t="s">
        <v>56</v>
      </c>
      <c r="C381" s="2">
        <v>286</v>
      </c>
    </row>
    <row r="382" spans="1:3">
      <c r="A382" s="1" t="s">
        <v>41</v>
      </c>
      <c r="B382" s="1" t="s">
        <v>196</v>
      </c>
      <c r="C382" s="2">
        <v>15</v>
      </c>
    </row>
    <row r="383" spans="1:3">
      <c r="A383" s="1" t="s">
        <v>42</v>
      </c>
      <c r="B383" s="1" t="s">
        <v>58</v>
      </c>
      <c r="C383" s="2">
        <v>638</v>
      </c>
    </row>
    <row r="384" spans="1:3">
      <c r="A384" s="1" t="s">
        <v>42</v>
      </c>
      <c r="B384" s="1" t="s">
        <v>65</v>
      </c>
      <c r="C384" s="2">
        <v>88</v>
      </c>
    </row>
    <row r="385" spans="1:3">
      <c r="A385" s="1" t="s">
        <v>42</v>
      </c>
      <c r="B385" s="1" t="s">
        <v>59</v>
      </c>
      <c r="C385" s="2">
        <v>759</v>
      </c>
    </row>
    <row r="386" spans="1:3">
      <c r="A386" s="1" t="s">
        <v>42</v>
      </c>
      <c r="B386" s="1" t="s">
        <v>61</v>
      </c>
      <c r="C386" s="2">
        <v>3</v>
      </c>
    </row>
    <row r="387" spans="1:3">
      <c r="A387" s="1" t="s">
        <v>42</v>
      </c>
      <c r="B387" s="1" t="s">
        <v>60</v>
      </c>
      <c r="C387" s="2">
        <v>2</v>
      </c>
    </row>
    <row r="388" spans="1:3">
      <c r="A388" s="1" t="s">
        <v>42</v>
      </c>
      <c r="B388" s="1" t="s">
        <v>57</v>
      </c>
      <c r="C388" s="2">
        <v>152</v>
      </c>
    </row>
    <row r="389" spans="1:3">
      <c r="A389" s="1" t="s">
        <v>42</v>
      </c>
      <c r="B389" s="1" t="s">
        <v>56</v>
      </c>
      <c r="C389" s="2">
        <v>394</v>
      </c>
    </row>
    <row r="390" spans="1:3">
      <c r="A390" s="1" t="s">
        <v>42</v>
      </c>
      <c r="B390" s="1" t="s">
        <v>205</v>
      </c>
      <c r="C390" s="2">
        <v>1</v>
      </c>
    </row>
    <row r="391" spans="1:3">
      <c r="A391" s="1" t="s">
        <v>42</v>
      </c>
      <c r="B391" s="1" t="s">
        <v>66</v>
      </c>
      <c r="C391" s="2">
        <v>4</v>
      </c>
    </row>
    <row r="392" spans="1:3">
      <c r="A392" s="1" t="s">
        <v>42</v>
      </c>
      <c r="B392" s="1" t="s">
        <v>211</v>
      </c>
      <c r="C392" s="2">
        <v>13</v>
      </c>
    </row>
    <row r="393" spans="1:3">
      <c r="A393" s="1" t="s">
        <v>42</v>
      </c>
      <c r="B393" s="1" t="s">
        <v>196</v>
      </c>
      <c r="C393" s="2">
        <v>54</v>
      </c>
    </row>
    <row r="394" spans="1:3">
      <c r="A394" s="1" t="s">
        <v>43</v>
      </c>
      <c r="B394" s="1" t="s">
        <v>58</v>
      </c>
      <c r="C394" s="2">
        <v>1182</v>
      </c>
    </row>
    <row r="395" spans="1:3">
      <c r="A395" s="1" t="s">
        <v>43</v>
      </c>
      <c r="B395" s="1" t="s">
        <v>65</v>
      </c>
      <c r="C395" s="2">
        <v>172</v>
      </c>
    </row>
    <row r="396" spans="1:3">
      <c r="A396" s="1" t="s">
        <v>43</v>
      </c>
      <c r="B396" s="1" t="s">
        <v>59</v>
      </c>
      <c r="C396" s="2">
        <v>1438</v>
      </c>
    </row>
    <row r="397" spans="1:3">
      <c r="A397" s="1" t="s">
        <v>43</v>
      </c>
      <c r="B397" s="1" t="s">
        <v>61</v>
      </c>
      <c r="C397" s="2">
        <v>39</v>
      </c>
    </row>
    <row r="398" spans="1:3">
      <c r="A398" s="1" t="s">
        <v>43</v>
      </c>
      <c r="B398" s="1" t="s">
        <v>67</v>
      </c>
      <c r="C398" s="2">
        <v>3</v>
      </c>
    </row>
    <row r="399" spans="1:3">
      <c r="A399" s="1" t="s">
        <v>43</v>
      </c>
      <c r="B399" s="1" t="s">
        <v>60</v>
      </c>
      <c r="C399" s="2">
        <v>1</v>
      </c>
    </row>
    <row r="400" spans="1:3">
      <c r="A400" s="1" t="s">
        <v>43</v>
      </c>
      <c r="B400" s="1" t="s">
        <v>57</v>
      </c>
      <c r="C400" s="2">
        <v>184</v>
      </c>
    </row>
    <row r="401" spans="1:3">
      <c r="A401" s="1" t="s">
        <v>43</v>
      </c>
      <c r="B401" s="1" t="s">
        <v>56</v>
      </c>
      <c r="C401" s="2">
        <v>467</v>
      </c>
    </row>
    <row r="402" spans="1:3">
      <c r="A402" s="1" t="s">
        <v>43</v>
      </c>
      <c r="B402" s="1" t="s">
        <v>205</v>
      </c>
      <c r="C402" s="2">
        <v>43</v>
      </c>
    </row>
    <row r="403" spans="1:3">
      <c r="A403" s="1" t="s">
        <v>43</v>
      </c>
      <c r="B403" s="1" t="s">
        <v>63</v>
      </c>
      <c r="C403" s="2">
        <v>45</v>
      </c>
    </row>
    <row r="404" spans="1:3">
      <c r="A404" s="1" t="s">
        <v>43</v>
      </c>
      <c r="B404" s="1" t="s">
        <v>66</v>
      </c>
      <c r="C404" s="2">
        <v>2</v>
      </c>
    </row>
    <row r="405" spans="1:3">
      <c r="A405" s="1" t="s">
        <v>43</v>
      </c>
      <c r="B405" s="1" t="s">
        <v>211</v>
      </c>
      <c r="C405" s="2">
        <v>1</v>
      </c>
    </row>
    <row r="406" spans="1:3">
      <c r="A406" s="1" t="s">
        <v>43</v>
      </c>
      <c r="B406" s="1" t="s">
        <v>196</v>
      </c>
      <c r="C406" s="2">
        <v>18</v>
      </c>
    </row>
    <row r="407" spans="1:3">
      <c r="A407" s="1" t="s">
        <v>44</v>
      </c>
      <c r="B407" s="1" t="s">
        <v>58</v>
      </c>
      <c r="C407" s="2">
        <v>1285</v>
      </c>
    </row>
    <row r="408" spans="1:3">
      <c r="A408" s="1" t="s">
        <v>44</v>
      </c>
      <c r="B408" s="1" t="s">
        <v>65</v>
      </c>
      <c r="C408" s="2">
        <v>77</v>
      </c>
    </row>
    <row r="409" spans="1:3">
      <c r="A409" s="1" t="s">
        <v>44</v>
      </c>
      <c r="B409" s="1" t="s">
        <v>59</v>
      </c>
      <c r="C409" s="2">
        <v>1415</v>
      </c>
    </row>
    <row r="410" spans="1:3">
      <c r="A410" s="1" t="s">
        <v>44</v>
      </c>
      <c r="B410" s="1" t="s">
        <v>61</v>
      </c>
      <c r="C410" s="2">
        <v>176</v>
      </c>
    </row>
    <row r="411" spans="1:3">
      <c r="A411" s="1" t="s">
        <v>44</v>
      </c>
      <c r="B411" s="1" t="s">
        <v>60</v>
      </c>
      <c r="C411" s="2">
        <v>2</v>
      </c>
    </row>
    <row r="412" spans="1:3">
      <c r="A412" s="1" t="s">
        <v>44</v>
      </c>
      <c r="B412" s="1" t="s">
        <v>57</v>
      </c>
      <c r="C412" s="2">
        <v>130</v>
      </c>
    </row>
    <row r="413" spans="1:3">
      <c r="A413" s="1" t="s">
        <v>44</v>
      </c>
      <c r="B413" s="1" t="s">
        <v>56</v>
      </c>
      <c r="C413" s="2">
        <v>351</v>
      </c>
    </row>
    <row r="414" spans="1:3">
      <c r="A414" s="1" t="s">
        <v>44</v>
      </c>
      <c r="B414" s="1" t="s">
        <v>205</v>
      </c>
      <c r="C414" s="2">
        <v>6</v>
      </c>
    </row>
    <row r="415" spans="1:3">
      <c r="A415" s="1" t="s">
        <v>44</v>
      </c>
      <c r="B415" s="1" t="s">
        <v>66</v>
      </c>
      <c r="C415" s="2">
        <v>2</v>
      </c>
    </row>
    <row r="416" spans="1:3">
      <c r="A416" s="1" t="s">
        <v>44</v>
      </c>
      <c r="B416" s="1" t="s">
        <v>196</v>
      </c>
      <c r="C416" s="2">
        <v>6</v>
      </c>
    </row>
    <row r="417" spans="1:3">
      <c r="A417" s="1" t="s">
        <v>45</v>
      </c>
      <c r="B417" s="1" t="s">
        <v>58</v>
      </c>
      <c r="C417" s="2">
        <v>985</v>
      </c>
    </row>
    <row r="418" spans="1:3">
      <c r="A418" s="1" t="s">
        <v>45</v>
      </c>
      <c r="B418" s="1" t="s">
        <v>65</v>
      </c>
      <c r="C418" s="2">
        <v>91</v>
      </c>
    </row>
    <row r="419" spans="1:3">
      <c r="A419" s="1" t="s">
        <v>45</v>
      </c>
      <c r="B419" s="1" t="s">
        <v>59</v>
      </c>
      <c r="C419" s="2">
        <v>1413</v>
      </c>
    </row>
    <row r="420" spans="1:3">
      <c r="A420" s="1" t="s">
        <v>45</v>
      </c>
      <c r="B420" s="1" t="s">
        <v>61</v>
      </c>
      <c r="C420" s="2">
        <v>217</v>
      </c>
    </row>
    <row r="421" spans="1:3">
      <c r="A421" s="1" t="s">
        <v>45</v>
      </c>
      <c r="B421" s="1" t="s">
        <v>57</v>
      </c>
      <c r="C421" s="2">
        <v>240</v>
      </c>
    </row>
    <row r="422" spans="1:3">
      <c r="A422" s="1" t="s">
        <v>45</v>
      </c>
      <c r="B422" s="1" t="s">
        <v>56</v>
      </c>
      <c r="C422" s="2">
        <v>261</v>
      </c>
    </row>
    <row r="423" spans="1:3">
      <c r="A423" s="1" t="s">
        <v>45</v>
      </c>
      <c r="B423" s="1" t="s">
        <v>205</v>
      </c>
      <c r="C423" s="2">
        <v>6</v>
      </c>
    </row>
    <row r="424" spans="1:3">
      <c r="A424" s="1" t="s">
        <v>45</v>
      </c>
      <c r="B424" s="1" t="s">
        <v>66</v>
      </c>
      <c r="C424" s="2">
        <v>1</v>
      </c>
    </row>
    <row r="425" spans="1:3">
      <c r="A425" s="1" t="s">
        <v>45</v>
      </c>
      <c r="B425" s="1" t="s">
        <v>196</v>
      </c>
      <c r="C425" s="2">
        <v>15</v>
      </c>
    </row>
    <row r="426" spans="1:3">
      <c r="A426" s="1" t="s">
        <v>46</v>
      </c>
      <c r="B426" s="1" t="s">
        <v>58</v>
      </c>
      <c r="C426" s="2">
        <v>1302</v>
      </c>
    </row>
    <row r="427" spans="1:3">
      <c r="A427" s="1" t="s">
        <v>46</v>
      </c>
      <c r="B427" s="1" t="s">
        <v>65</v>
      </c>
      <c r="C427" s="2">
        <v>63</v>
      </c>
    </row>
    <row r="428" spans="1:3">
      <c r="A428" s="1" t="s">
        <v>46</v>
      </c>
      <c r="B428" s="1" t="s">
        <v>59</v>
      </c>
      <c r="C428" s="2">
        <v>521</v>
      </c>
    </row>
    <row r="429" spans="1:3">
      <c r="A429" s="1" t="s">
        <v>46</v>
      </c>
      <c r="B429" s="1" t="s">
        <v>69</v>
      </c>
      <c r="C429" s="2">
        <v>866</v>
      </c>
    </row>
    <row r="430" spans="1:3">
      <c r="A430" s="1" t="s">
        <v>46</v>
      </c>
      <c r="B430" s="1" t="s">
        <v>61</v>
      </c>
      <c r="C430" s="2">
        <v>213</v>
      </c>
    </row>
    <row r="431" spans="1:3">
      <c r="A431" s="1" t="s">
        <v>46</v>
      </c>
      <c r="B431" s="1" t="s">
        <v>57</v>
      </c>
      <c r="C431" s="2">
        <v>185</v>
      </c>
    </row>
    <row r="432" spans="1:3">
      <c r="A432" s="1" t="s">
        <v>46</v>
      </c>
      <c r="B432" s="1" t="s">
        <v>56</v>
      </c>
      <c r="C432" s="2">
        <v>154</v>
      </c>
    </row>
    <row r="433" spans="1:3">
      <c r="A433" s="1" t="s">
        <v>46</v>
      </c>
      <c r="B433" s="1" t="s">
        <v>205</v>
      </c>
      <c r="C433" s="2">
        <v>5</v>
      </c>
    </row>
    <row r="434" spans="1:3">
      <c r="A434" s="1" t="s">
        <v>46</v>
      </c>
      <c r="B434" s="1" t="s">
        <v>196</v>
      </c>
      <c r="C434" s="2">
        <v>5</v>
      </c>
    </row>
    <row r="435" spans="1:3">
      <c r="A435" s="1" t="s">
        <v>47</v>
      </c>
      <c r="B435" s="1" t="s">
        <v>58</v>
      </c>
      <c r="C435" s="2">
        <v>2571</v>
      </c>
    </row>
    <row r="436" spans="1:3">
      <c r="A436" s="1" t="s">
        <v>47</v>
      </c>
      <c r="B436" s="1" t="s">
        <v>65</v>
      </c>
      <c r="C436" s="2">
        <v>59</v>
      </c>
    </row>
    <row r="437" spans="1:3">
      <c r="A437" s="1" t="s">
        <v>47</v>
      </c>
      <c r="B437" s="1" t="s">
        <v>69</v>
      </c>
      <c r="C437" s="2">
        <v>1510</v>
      </c>
    </row>
    <row r="438" spans="1:3">
      <c r="A438" s="1" t="s">
        <v>47</v>
      </c>
      <c r="B438" s="1" t="s">
        <v>61</v>
      </c>
      <c r="C438" s="2">
        <v>313</v>
      </c>
    </row>
    <row r="439" spans="1:3">
      <c r="A439" s="1" t="s">
        <v>47</v>
      </c>
      <c r="B439" s="1" t="s">
        <v>60</v>
      </c>
      <c r="C439" s="2">
        <v>4</v>
      </c>
    </row>
    <row r="440" spans="1:3">
      <c r="A440" s="1" t="s">
        <v>47</v>
      </c>
      <c r="B440" s="1" t="s">
        <v>57</v>
      </c>
      <c r="C440" s="2">
        <v>71</v>
      </c>
    </row>
    <row r="441" spans="1:3">
      <c r="A441" s="1" t="s">
        <v>47</v>
      </c>
      <c r="B441" s="1" t="s">
        <v>56</v>
      </c>
      <c r="C441" s="2">
        <v>224</v>
      </c>
    </row>
    <row r="442" spans="1:3">
      <c r="A442" s="1" t="s">
        <v>47</v>
      </c>
      <c r="B442" s="1" t="s">
        <v>205</v>
      </c>
      <c r="C442" s="2">
        <v>180</v>
      </c>
    </row>
    <row r="443" spans="1:3">
      <c r="A443" s="1" t="s">
        <v>47</v>
      </c>
      <c r="B443" s="1" t="s">
        <v>63</v>
      </c>
      <c r="C443" s="2">
        <v>3</v>
      </c>
    </row>
    <row r="444" spans="1:3">
      <c r="A444" s="1" t="s">
        <v>47</v>
      </c>
      <c r="B444" s="1" t="s">
        <v>62</v>
      </c>
      <c r="C444" s="2">
        <v>2</v>
      </c>
    </row>
    <row r="445" spans="1:3">
      <c r="A445" s="1" t="s">
        <v>47</v>
      </c>
      <c r="B445" s="1" t="s">
        <v>66</v>
      </c>
      <c r="C445" s="2">
        <v>3</v>
      </c>
    </row>
    <row r="446" spans="1:3">
      <c r="A446" s="1" t="s">
        <v>47</v>
      </c>
      <c r="B446" s="1" t="s">
        <v>196</v>
      </c>
      <c r="C446" s="2">
        <v>1</v>
      </c>
    </row>
    <row r="447" spans="1:3">
      <c r="A447" s="1" t="s">
        <v>48</v>
      </c>
      <c r="B447" s="1" t="s">
        <v>58</v>
      </c>
      <c r="C447" s="2">
        <v>3913</v>
      </c>
    </row>
    <row r="448" spans="1:3">
      <c r="A448" s="1" t="s">
        <v>48</v>
      </c>
      <c r="B448" s="1" t="s">
        <v>65</v>
      </c>
      <c r="C448" s="2">
        <v>65</v>
      </c>
    </row>
    <row r="449" spans="1:3">
      <c r="A449" s="1" t="s">
        <v>48</v>
      </c>
      <c r="B449" s="1" t="s">
        <v>69</v>
      </c>
      <c r="C449" s="2">
        <v>1557</v>
      </c>
    </row>
    <row r="450" spans="1:3">
      <c r="A450" s="1" t="s">
        <v>48</v>
      </c>
      <c r="B450" s="1" t="s">
        <v>61</v>
      </c>
      <c r="C450" s="2">
        <v>511</v>
      </c>
    </row>
    <row r="451" spans="1:3">
      <c r="A451" s="1" t="s">
        <v>48</v>
      </c>
      <c r="B451" s="1" t="s">
        <v>57</v>
      </c>
      <c r="C451" s="2">
        <v>1</v>
      </c>
    </row>
    <row r="452" spans="1:3">
      <c r="A452" s="1" t="s">
        <v>48</v>
      </c>
      <c r="B452" s="1" t="s">
        <v>56</v>
      </c>
      <c r="C452" s="2">
        <v>288</v>
      </c>
    </row>
    <row r="453" spans="1:3">
      <c r="A453" s="1" t="s">
        <v>48</v>
      </c>
      <c r="B453" s="1" t="s">
        <v>205</v>
      </c>
      <c r="C453" s="2">
        <v>158</v>
      </c>
    </row>
    <row r="454" spans="1:3">
      <c r="A454" s="1" t="s">
        <v>48</v>
      </c>
      <c r="B454" s="1" t="s">
        <v>196</v>
      </c>
      <c r="C454" s="2">
        <v>2</v>
      </c>
    </row>
    <row r="455" spans="1:3">
      <c r="A455" s="1" t="s">
        <v>49</v>
      </c>
      <c r="B455" s="1" t="s">
        <v>58</v>
      </c>
      <c r="C455" s="2">
        <v>2913</v>
      </c>
    </row>
    <row r="456" spans="1:3">
      <c r="A456" s="1" t="s">
        <v>49</v>
      </c>
      <c r="B456" s="1" t="s">
        <v>65</v>
      </c>
      <c r="C456" s="2">
        <v>48</v>
      </c>
    </row>
    <row r="457" spans="1:3">
      <c r="A457" s="1" t="s">
        <v>49</v>
      </c>
      <c r="B457" s="1" t="s">
        <v>69</v>
      </c>
      <c r="C457" s="2">
        <v>1283</v>
      </c>
    </row>
    <row r="458" spans="1:3">
      <c r="A458" s="1" t="s">
        <v>49</v>
      </c>
      <c r="B458" s="1" t="s">
        <v>61</v>
      </c>
      <c r="C458" s="2">
        <v>351</v>
      </c>
    </row>
    <row r="459" spans="1:3">
      <c r="A459" s="1" t="s">
        <v>49</v>
      </c>
      <c r="B459" s="1" t="s">
        <v>60</v>
      </c>
      <c r="C459" s="2">
        <v>2</v>
      </c>
    </row>
    <row r="460" spans="1:3">
      <c r="A460" s="1" t="s">
        <v>49</v>
      </c>
      <c r="B460" s="1" t="s">
        <v>56</v>
      </c>
      <c r="C460" s="2">
        <v>569</v>
      </c>
    </row>
    <row r="461" spans="1:3">
      <c r="A461" s="1" t="s">
        <v>49</v>
      </c>
      <c r="B461" s="1" t="s">
        <v>205</v>
      </c>
      <c r="C461" s="2">
        <v>101</v>
      </c>
    </row>
    <row r="462" spans="1:3">
      <c r="A462" s="1" t="s">
        <v>49</v>
      </c>
      <c r="B462" s="1" t="s">
        <v>62</v>
      </c>
      <c r="C462" s="2">
        <v>105</v>
      </c>
    </row>
    <row r="463" spans="1:3">
      <c r="A463" s="1" t="s">
        <v>49</v>
      </c>
      <c r="B463" s="1" t="s">
        <v>66</v>
      </c>
      <c r="C463" s="2">
        <v>2</v>
      </c>
    </row>
    <row r="464" spans="1:3">
      <c r="A464" s="1" t="s">
        <v>49</v>
      </c>
      <c r="B464" s="1" t="s">
        <v>196</v>
      </c>
      <c r="C464" s="2">
        <v>17</v>
      </c>
    </row>
    <row r="465" spans="1:3">
      <c r="A465" s="1" t="s">
        <v>50</v>
      </c>
      <c r="B465" s="1" t="s">
        <v>58</v>
      </c>
      <c r="C465" s="2">
        <v>2427</v>
      </c>
    </row>
    <row r="466" spans="1:3">
      <c r="A466" s="1" t="s">
        <v>50</v>
      </c>
      <c r="B466" s="1" t="s">
        <v>65</v>
      </c>
      <c r="C466" s="2">
        <v>81</v>
      </c>
    </row>
    <row r="467" spans="1:3">
      <c r="A467" s="1" t="s">
        <v>50</v>
      </c>
      <c r="B467" s="1" t="s">
        <v>69</v>
      </c>
      <c r="C467" s="2">
        <v>1039</v>
      </c>
    </row>
    <row r="468" spans="1:3">
      <c r="A468" s="1" t="s">
        <v>50</v>
      </c>
      <c r="B468" s="1" t="s">
        <v>61</v>
      </c>
      <c r="C468" s="2">
        <v>13</v>
      </c>
    </row>
    <row r="469" spans="1:3">
      <c r="A469" s="1" t="s">
        <v>50</v>
      </c>
      <c r="B469" s="1" t="s">
        <v>60</v>
      </c>
      <c r="C469" s="2">
        <v>2</v>
      </c>
    </row>
    <row r="470" spans="1:3">
      <c r="A470" s="1" t="s">
        <v>50</v>
      </c>
      <c r="B470" s="1" t="s">
        <v>56</v>
      </c>
      <c r="C470" s="2">
        <v>764</v>
      </c>
    </row>
    <row r="471" spans="1:3">
      <c r="A471" s="1" t="s">
        <v>50</v>
      </c>
      <c r="B471" s="1" t="s">
        <v>62</v>
      </c>
      <c r="C471" s="2">
        <v>270</v>
      </c>
    </row>
    <row r="472" spans="1:3">
      <c r="A472" s="1" t="s">
        <v>50</v>
      </c>
      <c r="B472" s="1" t="s">
        <v>196</v>
      </c>
      <c r="C472" s="2">
        <v>4</v>
      </c>
    </row>
    <row r="473" spans="1:3">
      <c r="A473" s="1" t="s">
        <v>51</v>
      </c>
      <c r="B473" s="1" t="s">
        <v>58</v>
      </c>
      <c r="C473" s="2">
        <v>2531</v>
      </c>
    </row>
    <row r="474" spans="1:3">
      <c r="A474" s="1" t="s">
        <v>51</v>
      </c>
      <c r="B474" s="1" t="s">
        <v>65</v>
      </c>
      <c r="C474" s="2">
        <v>118</v>
      </c>
    </row>
    <row r="475" spans="1:3">
      <c r="A475" s="1" t="s">
        <v>51</v>
      </c>
      <c r="B475" s="1" t="s">
        <v>69</v>
      </c>
      <c r="C475" s="2">
        <v>1248</v>
      </c>
    </row>
    <row r="476" spans="1:3">
      <c r="A476" s="1" t="s">
        <v>51</v>
      </c>
      <c r="B476" s="1" t="s">
        <v>60</v>
      </c>
      <c r="C476" s="2">
        <v>1</v>
      </c>
    </row>
    <row r="477" spans="1:3">
      <c r="A477" s="1" t="s">
        <v>51</v>
      </c>
      <c r="B477" s="1" t="s">
        <v>56</v>
      </c>
      <c r="C477" s="2">
        <v>798</v>
      </c>
    </row>
    <row r="478" spans="1:3">
      <c r="A478" s="1" t="s">
        <v>51</v>
      </c>
      <c r="B478" s="1" t="s">
        <v>62</v>
      </c>
      <c r="C478" s="2">
        <v>250</v>
      </c>
    </row>
    <row r="479" spans="1:3">
      <c r="A479" s="1" t="s">
        <v>51</v>
      </c>
      <c r="B479" s="1" t="s">
        <v>196</v>
      </c>
      <c r="C479" s="2">
        <v>4</v>
      </c>
    </row>
    <row r="480" spans="1:3">
      <c r="A480" s="1" t="s">
        <v>52</v>
      </c>
      <c r="B480" s="1" t="s">
        <v>58</v>
      </c>
      <c r="C480" s="2">
        <v>1866</v>
      </c>
    </row>
    <row r="481" spans="1:3">
      <c r="A481" s="1" t="s">
        <v>52</v>
      </c>
      <c r="B481" s="1" t="s">
        <v>65</v>
      </c>
      <c r="C481" s="2">
        <v>109</v>
      </c>
    </row>
    <row r="482" spans="1:3">
      <c r="A482" s="1" t="s">
        <v>52</v>
      </c>
      <c r="B482" s="1" t="s">
        <v>69</v>
      </c>
      <c r="C482" s="2">
        <v>909</v>
      </c>
    </row>
    <row r="483" spans="1:3">
      <c r="A483" s="1" t="s">
        <v>52</v>
      </c>
      <c r="B483" s="1" t="s">
        <v>60</v>
      </c>
      <c r="C483" s="2">
        <v>1</v>
      </c>
    </row>
    <row r="484" spans="1:3">
      <c r="A484" s="1" t="s">
        <v>52</v>
      </c>
      <c r="B484" s="1" t="s">
        <v>56</v>
      </c>
      <c r="C484" s="2">
        <v>742</v>
      </c>
    </row>
    <row r="485" spans="1:3">
      <c r="A485" s="1" t="s">
        <v>52</v>
      </c>
      <c r="B485" s="1" t="s">
        <v>63</v>
      </c>
      <c r="C485" s="2">
        <v>69</v>
      </c>
    </row>
    <row r="486" spans="1:3">
      <c r="A486" s="1" t="s">
        <v>52</v>
      </c>
      <c r="B486" s="1" t="s">
        <v>62</v>
      </c>
      <c r="C486" s="2">
        <v>172</v>
      </c>
    </row>
    <row r="487" spans="1:3">
      <c r="A487" s="1" t="s">
        <v>52</v>
      </c>
      <c r="B487" s="1" t="s">
        <v>196</v>
      </c>
      <c r="C487" s="2">
        <v>12</v>
      </c>
    </row>
    <row r="488" spans="1:3">
      <c r="A488" s="1" t="s">
        <v>53</v>
      </c>
      <c r="B488" s="1" t="s">
        <v>58</v>
      </c>
      <c r="C488" s="2">
        <v>660</v>
      </c>
    </row>
    <row r="489" spans="1:3">
      <c r="A489" s="1" t="s">
        <v>53</v>
      </c>
      <c r="B489" s="1" t="s">
        <v>65</v>
      </c>
      <c r="C489" s="2">
        <v>53</v>
      </c>
    </row>
    <row r="490" spans="1:3">
      <c r="A490" s="1" t="s">
        <v>53</v>
      </c>
      <c r="B490" s="1" t="s">
        <v>69</v>
      </c>
      <c r="C490" s="2">
        <v>449</v>
      </c>
    </row>
    <row r="491" spans="1:3">
      <c r="A491" s="1" t="s">
        <v>53</v>
      </c>
      <c r="B491" s="1" t="s">
        <v>56</v>
      </c>
      <c r="C491" s="2">
        <v>280</v>
      </c>
    </row>
    <row r="492" spans="1:3">
      <c r="A492" s="1" t="s">
        <v>53</v>
      </c>
      <c r="B492" s="1" t="s">
        <v>62</v>
      </c>
      <c r="C492" s="2">
        <v>28</v>
      </c>
    </row>
    <row r="493" spans="1:3">
      <c r="A493" s="1" t="s">
        <v>53</v>
      </c>
      <c r="B493" s="1" t="s">
        <v>196</v>
      </c>
      <c r="C493" s="2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9"/>
  <sheetViews>
    <sheetView workbookViewId="0">
      <selection activeCell="A1" sqref="A1:C439"/>
    </sheetView>
  </sheetViews>
  <sheetFormatPr defaultColWidth="9.14285714285714" defaultRowHeight="14.4" outlineLevelCol="2"/>
  <sheetData>
    <row r="1" spans="1:3">
      <c r="A1" s="1" t="s">
        <v>188</v>
      </c>
      <c r="B1" s="1" t="s">
        <v>189</v>
      </c>
      <c r="C1" s="1" t="s">
        <v>190</v>
      </c>
    </row>
    <row r="2" spans="1:3">
      <c r="A2" s="1" t="s">
        <v>3</v>
      </c>
      <c r="B2" s="1" t="s">
        <v>191</v>
      </c>
      <c r="C2" s="2">
        <v>1</v>
      </c>
    </row>
    <row r="3" spans="1:3">
      <c r="A3" s="1" t="s">
        <v>3</v>
      </c>
      <c r="B3" s="1" t="s">
        <v>192</v>
      </c>
      <c r="C3" s="2">
        <v>1</v>
      </c>
    </row>
    <row r="4" spans="1:3">
      <c r="A4" s="1" t="s">
        <v>3</v>
      </c>
      <c r="B4" s="1" t="s">
        <v>56</v>
      </c>
      <c r="C4" s="2">
        <v>1</v>
      </c>
    </row>
    <row r="5" spans="1:3">
      <c r="A5" s="1" t="s">
        <v>3</v>
      </c>
      <c r="B5" s="1" t="s">
        <v>194</v>
      </c>
      <c r="C5" s="2">
        <v>7</v>
      </c>
    </row>
    <row r="6" spans="1:3">
      <c r="A6" s="1" t="s">
        <v>4</v>
      </c>
      <c r="B6" s="1" t="s">
        <v>195</v>
      </c>
      <c r="C6" s="2">
        <v>3</v>
      </c>
    </row>
    <row r="7" spans="1:3">
      <c r="A7" s="1" t="s">
        <v>4</v>
      </c>
      <c r="B7" s="1" t="s">
        <v>56</v>
      </c>
      <c r="C7" s="2">
        <v>721</v>
      </c>
    </row>
    <row r="8" spans="1:3">
      <c r="A8" s="1" t="s">
        <v>4</v>
      </c>
      <c r="B8" s="1" t="s">
        <v>193</v>
      </c>
      <c r="C8" s="2">
        <v>84</v>
      </c>
    </row>
    <row r="9" spans="1:3">
      <c r="A9" s="1" t="s">
        <v>4</v>
      </c>
      <c r="B9" s="1" t="s">
        <v>194</v>
      </c>
      <c r="C9" s="2">
        <v>130</v>
      </c>
    </row>
    <row r="10" spans="1:3">
      <c r="A10" s="1" t="s">
        <v>5</v>
      </c>
      <c r="B10" s="1" t="s">
        <v>195</v>
      </c>
      <c r="C10" s="2">
        <v>3</v>
      </c>
    </row>
    <row r="11" spans="1:3">
      <c r="A11" s="1" t="s">
        <v>5</v>
      </c>
      <c r="B11" s="1" t="s">
        <v>192</v>
      </c>
      <c r="C11" s="2">
        <v>1</v>
      </c>
    </row>
    <row r="12" spans="1:3">
      <c r="A12" s="1" t="s">
        <v>5</v>
      </c>
      <c r="B12" s="1" t="s">
        <v>56</v>
      </c>
      <c r="C12" s="2">
        <v>901</v>
      </c>
    </row>
    <row r="13" spans="1:3">
      <c r="A13" s="1" t="s">
        <v>5</v>
      </c>
      <c r="B13" s="1" t="s">
        <v>193</v>
      </c>
      <c r="C13" s="2">
        <v>71</v>
      </c>
    </row>
    <row r="14" spans="1:3">
      <c r="A14" s="1" t="s">
        <v>5</v>
      </c>
      <c r="B14" s="1" t="s">
        <v>194</v>
      </c>
      <c r="C14" s="2">
        <v>132</v>
      </c>
    </row>
    <row r="15" spans="1:3">
      <c r="A15" s="1" t="s">
        <v>5</v>
      </c>
      <c r="B15" s="1" t="s">
        <v>196</v>
      </c>
      <c r="C15" s="2">
        <v>4</v>
      </c>
    </row>
    <row r="16" spans="1:3">
      <c r="A16" s="1" t="s">
        <v>6</v>
      </c>
      <c r="B16" s="1" t="s">
        <v>195</v>
      </c>
      <c r="C16" s="2">
        <v>3</v>
      </c>
    </row>
    <row r="17" spans="1:3">
      <c r="A17" s="1" t="s">
        <v>6</v>
      </c>
      <c r="B17" s="1" t="s">
        <v>56</v>
      </c>
      <c r="C17" s="2">
        <v>1110</v>
      </c>
    </row>
    <row r="18" spans="1:3">
      <c r="A18" s="1" t="s">
        <v>6</v>
      </c>
      <c r="B18" s="1" t="s">
        <v>197</v>
      </c>
      <c r="C18" s="2">
        <v>13</v>
      </c>
    </row>
    <row r="19" spans="1:3">
      <c r="A19" s="1" t="s">
        <v>6</v>
      </c>
      <c r="B19" s="1" t="s">
        <v>193</v>
      </c>
      <c r="C19" s="2">
        <v>51</v>
      </c>
    </row>
    <row r="20" spans="1:3">
      <c r="A20" s="1" t="s">
        <v>6</v>
      </c>
      <c r="B20" s="1" t="s">
        <v>194</v>
      </c>
      <c r="C20" s="2">
        <v>151</v>
      </c>
    </row>
    <row r="21" spans="1:3">
      <c r="A21" s="1" t="s">
        <v>6</v>
      </c>
      <c r="B21" s="1" t="s">
        <v>196</v>
      </c>
      <c r="C21" s="2">
        <v>1</v>
      </c>
    </row>
    <row r="22" spans="1:3">
      <c r="A22" s="1" t="s">
        <v>7</v>
      </c>
      <c r="B22" s="1" t="s">
        <v>195</v>
      </c>
      <c r="C22" s="2">
        <v>32</v>
      </c>
    </row>
    <row r="23" spans="1:3">
      <c r="A23" s="1" t="s">
        <v>7</v>
      </c>
      <c r="B23" s="1" t="s">
        <v>56</v>
      </c>
      <c r="C23" s="2">
        <v>969</v>
      </c>
    </row>
    <row r="24" spans="1:3">
      <c r="A24" s="1" t="s">
        <v>7</v>
      </c>
      <c r="B24" s="1" t="s">
        <v>197</v>
      </c>
      <c r="C24" s="2">
        <v>191</v>
      </c>
    </row>
    <row r="25" spans="1:3">
      <c r="A25" s="1" t="s">
        <v>7</v>
      </c>
      <c r="B25" s="1" t="s">
        <v>193</v>
      </c>
      <c r="C25" s="2">
        <v>69</v>
      </c>
    </row>
    <row r="26" spans="1:3">
      <c r="A26" s="1" t="s">
        <v>7</v>
      </c>
      <c r="B26" s="1" t="s">
        <v>194</v>
      </c>
      <c r="C26" s="2">
        <v>131</v>
      </c>
    </row>
    <row r="27" spans="1:3">
      <c r="A27" s="1" t="s">
        <v>7</v>
      </c>
      <c r="B27" s="1" t="s">
        <v>196</v>
      </c>
      <c r="C27" s="2">
        <v>6</v>
      </c>
    </row>
    <row r="28" spans="1:3">
      <c r="A28" s="1" t="s">
        <v>8</v>
      </c>
      <c r="B28" s="1" t="s">
        <v>195</v>
      </c>
      <c r="C28" s="2">
        <v>2</v>
      </c>
    </row>
    <row r="29" spans="1:3">
      <c r="A29" s="1" t="s">
        <v>8</v>
      </c>
      <c r="B29" s="1" t="s">
        <v>56</v>
      </c>
      <c r="C29" s="2">
        <v>881</v>
      </c>
    </row>
    <row r="30" spans="1:3">
      <c r="A30" s="1" t="s">
        <v>8</v>
      </c>
      <c r="B30" s="1" t="s">
        <v>197</v>
      </c>
      <c r="C30" s="2">
        <v>162</v>
      </c>
    </row>
    <row r="31" spans="1:3">
      <c r="A31" s="1" t="s">
        <v>8</v>
      </c>
      <c r="B31" s="1" t="s">
        <v>193</v>
      </c>
      <c r="C31" s="2">
        <v>48</v>
      </c>
    </row>
    <row r="32" spans="1:3">
      <c r="A32" s="1" t="s">
        <v>8</v>
      </c>
      <c r="B32" s="1" t="s">
        <v>194</v>
      </c>
      <c r="C32" s="2">
        <v>59</v>
      </c>
    </row>
    <row r="33" spans="1:3">
      <c r="A33" s="1" t="s">
        <v>8</v>
      </c>
      <c r="B33" s="1" t="s">
        <v>196</v>
      </c>
      <c r="C33" s="2">
        <v>12</v>
      </c>
    </row>
    <row r="34" spans="1:3">
      <c r="A34" s="1" t="s">
        <v>9</v>
      </c>
      <c r="B34" s="1" t="s">
        <v>195</v>
      </c>
      <c r="C34" s="2">
        <v>59</v>
      </c>
    </row>
    <row r="35" spans="1:3">
      <c r="A35" s="1" t="s">
        <v>9</v>
      </c>
      <c r="B35" s="1" t="s">
        <v>56</v>
      </c>
      <c r="C35" s="2">
        <v>955</v>
      </c>
    </row>
    <row r="36" spans="1:3">
      <c r="A36" s="1" t="s">
        <v>9</v>
      </c>
      <c r="B36" s="1" t="s">
        <v>197</v>
      </c>
      <c r="C36" s="2">
        <v>35</v>
      </c>
    </row>
    <row r="37" spans="1:3">
      <c r="A37" s="1" t="s">
        <v>9</v>
      </c>
      <c r="B37" s="1" t="s">
        <v>193</v>
      </c>
      <c r="C37" s="2">
        <v>61</v>
      </c>
    </row>
    <row r="38" spans="1:3">
      <c r="A38" s="1" t="s">
        <v>9</v>
      </c>
      <c r="B38" s="1" t="s">
        <v>196</v>
      </c>
      <c r="C38" s="2">
        <v>3</v>
      </c>
    </row>
    <row r="39" spans="1:3">
      <c r="A39" s="1" t="s">
        <v>10</v>
      </c>
      <c r="B39" s="1" t="s">
        <v>58</v>
      </c>
      <c r="C39" s="2">
        <v>2</v>
      </c>
    </row>
    <row r="40" spans="1:3">
      <c r="A40" s="1" t="s">
        <v>10</v>
      </c>
      <c r="B40" s="1" t="s">
        <v>59</v>
      </c>
      <c r="C40" s="2">
        <v>3</v>
      </c>
    </row>
    <row r="41" spans="1:3">
      <c r="A41" s="1" t="s">
        <v>10</v>
      </c>
      <c r="B41" s="1" t="s">
        <v>195</v>
      </c>
      <c r="C41" s="2">
        <v>79</v>
      </c>
    </row>
    <row r="42" spans="1:3">
      <c r="A42" s="1" t="s">
        <v>10</v>
      </c>
      <c r="B42" s="1" t="s">
        <v>56</v>
      </c>
      <c r="C42" s="2">
        <v>628</v>
      </c>
    </row>
    <row r="43" spans="1:3">
      <c r="A43" s="1" t="s">
        <v>10</v>
      </c>
      <c r="B43" s="1" t="s">
        <v>197</v>
      </c>
      <c r="C43" s="2">
        <v>30</v>
      </c>
    </row>
    <row r="44" spans="1:3">
      <c r="A44" s="1" t="s">
        <v>10</v>
      </c>
      <c r="B44" s="1" t="s">
        <v>193</v>
      </c>
      <c r="C44" s="2">
        <v>17</v>
      </c>
    </row>
    <row r="45" spans="1:3">
      <c r="A45" s="1" t="s">
        <v>10</v>
      </c>
      <c r="B45" s="1" t="s">
        <v>196</v>
      </c>
      <c r="C45" s="2">
        <v>11</v>
      </c>
    </row>
    <row r="46" spans="1:3">
      <c r="A46" s="1" t="s">
        <v>11</v>
      </c>
      <c r="B46" s="1" t="s">
        <v>59</v>
      </c>
      <c r="C46" s="2">
        <v>15</v>
      </c>
    </row>
    <row r="47" spans="1:3">
      <c r="A47" s="1" t="s">
        <v>11</v>
      </c>
      <c r="B47" s="1" t="s">
        <v>60</v>
      </c>
      <c r="C47" s="2">
        <v>2</v>
      </c>
    </row>
    <row r="48" spans="1:3">
      <c r="A48" s="1" t="s">
        <v>11</v>
      </c>
      <c r="B48" s="1" t="s">
        <v>195</v>
      </c>
      <c r="C48" s="2">
        <v>147</v>
      </c>
    </row>
    <row r="49" spans="1:3">
      <c r="A49" s="1" t="s">
        <v>11</v>
      </c>
      <c r="B49" s="1" t="s">
        <v>56</v>
      </c>
      <c r="C49" s="2">
        <v>680</v>
      </c>
    </row>
    <row r="50" spans="1:3">
      <c r="A50" s="1" t="s">
        <v>11</v>
      </c>
      <c r="B50" s="1" t="s">
        <v>197</v>
      </c>
      <c r="C50" s="2">
        <v>26</v>
      </c>
    </row>
    <row r="51" spans="1:3">
      <c r="A51" s="1" t="s">
        <v>11</v>
      </c>
      <c r="B51" s="1" t="s">
        <v>196</v>
      </c>
      <c r="C51" s="2">
        <v>4</v>
      </c>
    </row>
    <row r="52" spans="1:3">
      <c r="A52" s="1" t="s">
        <v>12</v>
      </c>
      <c r="B52" s="1" t="s">
        <v>58</v>
      </c>
      <c r="C52" s="2">
        <v>1</v>
      </c>
    </row>
    <row r="53" spans="1:3">
      <c r="A53" s="1" t="s">
        <v>12</v>
      </c>
      <c r="B53" s="1" t="s">
        <v>59</v>
      </c>
      <c r="C53" s="2">
        <v>12</v>
      </c>
    </row>
    <row r="54" spans="1:3">
      <c r="A54" s="1" t="s">
        <v>12</v>
      </c>
      <c r="B54" s="1" t="s">
        <v>195</v>
      </c>
      <c r="C54" s="2">
        <v>145</v>
      </c>
    </row>
    <row r="55" spans="1:3">
      <c r="A55" s="1" t="s">
        <v>12</v>
      </c>
      <c r="B55" s="1" t="s">
        <v>56</v>
      </c>
      <c r="C55" s="2">
        <v>874</v>
      </c>
    </row>
    <row r="56" spans="1:3">
      <c r="A56" s="1" t="s">
        <v>12</v>
      </c>
      <c r="B56" s="1" t="s">
        <v>197</v>
      </c>
      <c r="C56" s="2">
        <v>21</v>
      </c>
    </row>
    <row r="57" spans="1:3">
      <c r="A57" s="1" t="s">
        <v>12</v>
      </c>
      <c r="B57" s="1" t="s">
        <v>198</v>
      </c>
      <c r="C57" s="2">
        <v>2</v>
      </c>
    </row>
    <row r="58" spans="1:3">
      <c r="A58" s="1" t="s">
        <v>12</v>
      </c>
      <c r="B58" s="1" t="s">
        <v>196</v>
      </c>
      <c r="C58" s="2">
        <v>2</v>
      </c>
    </row>
    <row r="59" spans="1:3">
      <c r="A59" s="1" t="s">
        <v>13</v>
      </c>
      <c r="B59" s="1" t="s">
        <v>58</v>
      </c>
      <c r="C59" s="2">
        <v>18</v>
      </c>
    </row>
    <row r="60" spans="1:3">
      <c r="A60" s="1" t="s">
        <v>13</v>
      </c>
      <c r="B60" s="1" t="s">
        <v>59</v>
      </c>
      <c r="C60" s="2">
        <v>15</v>
      </c>
    </row>
    <row r="61" spans="1:3">
      <c r="A61" s="1" t="s">
        <v>13</v>
      </c>
      <c r="B61" s="1" t="s">
        <v>61</v>
      </c>
      <c r="C61" s="2">
        <v>1</v>
      </c>
    </row>
    <row r="62" spans="1:3">
      <c r="A62" s="1" t="s">
        <v>13</v>
      </c>
      <c r="B62" s="1" t="s">
        <v>60</v>
      </c>
      <c r="C62" s="2">
        <v>9</v>
      </c>
    </row>
    <row r="63" spans="1:3">
      <c r="A63" s="1" t="s">
        <v>13</v>
      </c>
      <c r="B63" s="1" t="s">
        <v>195</v>
      </c>
      <c r="C63" s="2">
        <v>73</v>
      </c>
    </row>
    <row r="64" spans="1:3">
      <c r="A64" s="1" t="s">
        <v>13</v>
      </c>
      <c r="B64" s="1" t="s">
        <v>56</v>
      </c>
      <c r="C64" s="2">
        <v>938</v>
      </c>
    </row>
    <row r="65" spans="1:3">
      <c r="A65" s="1" t="s">
        <v>13</v>
      </c>
      <c r="B65" s="1" t="s">
        <v>197</v>
      </c>
      <c r="C65" s="2">
        <v>1</v>
      </c>
    </row>
    <row r="66" spans="1:3">
      <c r="A66" s="1" t="s">
        <v>13</v>
      </c>
      <c r="B66" s="1" t="s">
        <v>199</v>
      </c>
      <c r="C66" s="2">
        <v>19</v>
      </c>
    </row>
    <row r="67" spans="1:3">
      <c r="A67" s="1" t="s">
        <v>13</v>
      </c>
      <c r="B67" s="1" t="s">
        <v>196</v>
      </c>
      <c r="C67" s="2">
        <v>1</v>
      </c>
    </row>
    <row r="68" spans="1:3">
      <c r="A68" s="1" t="s">
        <v>14</v>
      </c>
      <c r="B68" s="1" t="s">
        <v>58</v>
      </c>
      <c r="C68" s="2">
        <v>36</v>
      </c>
    </row>
    <row r="69" spans="1:3">
      <c r="A69" s="1" t="s">
        <v>14</v>
      </c>
      <c r="B69" s="1" t="s">
        <v>59</v>
      </c>
      <c r="C69" s="2">
        <v>7</v>
      </c>
    </row>
    <row r="70" spans="1:3">
      <c r="A70" s="1" t="s">
        <v>14</v>
      </c>
      <c r="B70" s="1" t="s">
        <v>61</v>
      </c>
      <c r="C70" s="2">
        <v>2</v>
      </c>
    </row>
    <row r="71" spans="1:3">
      <c r="A71" s="1" t="s">
        <v>14</v>
      </c>
      <c r="B71" s="1" t="s">
        <v>60</v>
      </c>
      <c r="C71" s="2">
        <v>7</v>
      </c>
    </row>
    <row r="72" spans="1:3">
      <c r="A72" s="1" t="s">
        <v>14</v>
      </c>
      <c r="B72" s="1" t="s">
        <v>195</v>
      </c>
      <c r="C72" s="2">
        <v>63</v>
      </c>
    </row>
    <row r="73" spans="1:3">
      <c r="A73" s="1" t="s">
        <v>14</v>
      </c>
      <c r="B73" s="1" t="s">
        <v>56</v>
      </c>
      <c r="C73" s="2">
        <v>746</v>
      </c>
    </row>
    <row r="74" spans="1:3">
      <c r="A74" s="1" t="s">
        <v>14</v>
      </c>
      <c r="B74" s="1" t="s">
        <v>197</v>
      </c>
      <c r="C74" s="2">
        <v>1</v>
      </c>
    </row>
    <row r="75" spans="1:3">
      <c r="A75" s="1" t="s">
        <v>14</v>
      </c>
      <c r="B75" s="1" t="s">
        <v>63</v>
      </c>
      <c r="C75" s="2">
        <v>1</v>
      </c>
    </row>
    <row r="76" spans="1:3">
      <c r="A76" s="1" t="s">
        <v>14</v>
      </c>
      <c r="B76" s="1" t="s">
        <v>62</v>
      </c>
      <c r="C76" s="2">
        <v>1</v>
      </c>
    </row>
    <row r="77" spans="1:3">
      <c r="A77" s="1" t="s">
        <v>14</v>
      </c>
      <c r="B77" s="1" t="s">
        <v>199</v>
      </c>
      <c r="C77" s="2">
        <v>31</v>
      </c>
    </row>
    <row r="78" spans="1:3">
      <c r="A78" s="1" t="s">
        <v>14</v>
      </c>
      <c r="B78" s="1" t="s">
        <v>196</v>
      </c>
      <c r="C78" s="2">
        <v>1</v>
      </c>
    </row>
    <row r="79" spans="1:3">
      <c r="A79" s="1" t="s">
        <v>15</v>
      </c>
      <c r="B79" s="1" t="s">
        <v>191</v>
      </c>
      <c r="C79" s="2">
        <v>8</v>
      </c>
    </row>
    <row r="80" spans="1:3">
      <c r="A80" s="1" t="s">
        <v>15</v>
      </c>
      <c r="B80" s="1" t="s">
        <v>58</v>
      </c>
      <c r="C80" s="2">
        <v>30</v>
      </c>
    </row>
    <row r="81" spans="1:3">
      <c r="A81" s="1" t="s">
        <v>15</v>
      </c>
      <c r="B81" s="1" t="s">
        <v>59</v>
      </c>
      <c r="C81" s="2">
        <v>27</v>
      </c>
    </row>
    <row r="82" spans="1:3">
      <c r="A82" s="1" t="s">
        <v>15</v>
      </c>
      <c r="B82" s="1" t="s">
        <v>61</v>
      </c>
      <c r="C82" s="2">
        <v>3</v>
      </c>
    </row>
    <row r="83" spans="1:3">
      <c r="A83" s="1" t="s">
        <v>15</v>
      </c>
      <c r="B83" s="1" t="s">
        <v>60</v>
      </c>
      <c r="C83" s="2">
        <v>1</v>
      </c>
    </row>
    <row r="84" spans="1:3">
      <c r="A84" s="1" t="s">
        <v>15</v>
      </c>
      <c r="B84" s="1" t="s">
        <v>195</v>
      </c>
      <c r="C84" s="2">
        <v>149</v>
      </c>
    </row>
    <row r="85" spans="1:3">
      <c r="A85" s="1" t="s">
        <v>15</v>
      </c>
      <c r="B85" s="1" t="s">
        <v>201</v>
      </c>
      <c r="C85" s="2">
        <v>1</v>
      </c>
    </row>
    <row r="86" spans="1:3">
      <c r="A86" s="1" t="s">
        <v>15</v>
      </c>
      <c r="B86" s="1" t="s">
        <v>56</v>
      </c>
      <c r="C86" s="2">
        <v>706</v>
      </c>
    </row>
    <row r="87" spans="1:3">
      <c r="A87" s="1" t="s">
        <v>15</v>
      </c>
      <c r="B87" s="1" t="s">
        <v>63</v>
      </c>
      <c r="C87" s="2">
        <v>20</v>
      </c>
    </row>
    <row r="88" spans="1:3">
      <c r="A88" s="1" t="s">
        <v>15</v>
      </c>
      <c r="B88" s="1" t="s">
        <v>200</v>
      </c>
      <c r="C88" s="2">
        <v>2</v>
      </c>
    </row>
    <row r="89" spans="1:3">
      <c r="A89" s="1" t="s">
        <v>15</v>
      </c>
      <c r="B89" s="1" t="s">
        <v>202</v>
      </c>
      <c r="C89" s="2">
        <v>60</v>
      </c>
    </row>
    <row r="90" spans="1:3">
      <c r="A90" s="1" t="s">
        <v>16</v>
      </c>
      <c r="B90" s="1" t="s">
        <v>203</v>
      </c>
      <c r="C90" s="2">
        <v>6</v>
      </c>
    </row>
    <row r="91" spans="1:3">
      <c r="A91" s="1" t="s">
        <v>16</v>
      </c>
      <c r="B91" s="1" t="s">
        <v>191</v>
      </c>
      <c r="C91" s="2">
        <v>32</v>
      </c>
    </row>
    <row r="92" spans="1:3">
      <c r="A92" s="1" t="s">
        <v>16</v>
      </c>
      <c r="B92" s="1" t="s">
        <v>58</v>
      </c>
      <c r="C92" s="2">
        <v>17</v>
      </c>
    </row>
    <row r="93" spans="1:3">
      <c r="A93" s="1" t="s">
        <v>16</v>
      </c>
      <c r="B93" s="1" t="s">
        <v>59</v>
      </c>
      <c r="C93" s="2">
        <v>21</v>
      </c>
    </row>
    <row r="94" spans="1:3">
      <c r="A94" s="1" t="s">
        <v>16</v>
      </c>
      <c r="B94" s="1" t="s">
        <v>61</v>
      </c>
      <c r="C94" s="2">
        <v>1</v>
      </c>
    </row>
    <row r="95" spans="1:3">
      <c r="A95" s="1" t="s">
        <v>16</v>
      </c>
      <c r="B95" s="1" t="s">
        <v>56</v>
      </c>
      <c r="C95" s="2">
        <v>1606</v>
      </c>
    </row>
    <row r="96" spans="1:3">
      <c r="A96" s="1" t="s">
        <v>16</v>
      </c>
      <c r="B96" s="1" t="s">
        <v>63</v>
      </c>
      <c r="C96" s="2">
        <v>24</v>
      </c>
    </row>
    <row r="97" spans="1:3">
      <c r="A97" s="1" t="s">
        <v>16</v>
      </c>
      <c r="B97" s="1" t="s">
        <v>202</v>
      </c>
      <c r="C97" s="2">
        <v>28</v>
      </c>
    </row>
    <row r="98" spans="1:3">
      <c r="A98" s="1" t="s">
        <v>17</v>
      </c>
      <c r="B98" s="1" t="s">
        <v>203</v>
      </c>
      <c r="C98" s="2">
        <v>35</v>
      </c>
    </row>
    <row r="99" spans="1:3">
      <c r="A99" s="1" t="s">
        <v>17</v>
      </c>
      <c r="B99" s="1" t="s">
        <v>191</v>
      </c>
      <c r="C99" s="2">
        <v>48</v>
      </c>
    </row>
    <row r="100" spans="1:3">
      <c r="A100" s="1" t="s">
        <v>17</v>
      </c>
      <c r="B100" s="1" t="s">
        <v>58</v>
      </c>
      <c r="C100" s="2">
        <v>23</v>
      </c>
    </row>
    <row r="101" spans="1:3">
      <c r="A101" s="1" t="s">
        <v>17</v>
      </c>
      <c r="B101" s="1" t="s">
        <v>59</v>
      </c>
      <c r="C101" s="2">
        <v>2</v>
      </c>
    </row>
    <row r="102" spans="1:3">
      <c r="A102" s="1" t="s">
        <v>17</v>
      </c>
      <c r="B102" s="1" t="s">
        <v>61</v>
      </c>
      <c r="C102" s="2">
        <v>6</v>
      </c>
    </row>
    <row r="103" spans="1:3">
      <c r="A103" s="1" t="s">
        <v>17</v>
      </c>
      <c r="B103" s="1" t="s">
        <v>60</v>
      </c>
      <c r="C103" s="2">
        <v>3</v>
      </c>
    </row>
    <row r="104" spans="1:3">
      <c r="A104" s="1" t="s">
        <v>17</v>
      </c>
      <c r="B104" s="1" t="s">
        <v>56</v>
      </c>
      <c r="C104" s="2">
        <v>1700</v>
      </c>
    </row>
    <row r="105" spans="1:3">
      <c r="A105" s="1" t="s">
        <v>17</v>
      </c>
      <c r="B105" s="1" t="s">
        <v>63</v>
      </c>
      <c r="C105" s="2">
        <v>1</v>
      </c>
    </row>
    <row r="106" spans="1:3">
      <c r="A106" s="1" t="s">
        <v>17</v>
      </c>
      <c r="B106" s="1" t="s">
        <v>196</v>
      </c>
      <c r="C106" s="2">
        <v>1</v>
      </c>
    </row>
    <row r="107" spans="1:3">
      <c r="A107" s="1" t="s">
        <v>17</v>
      </c>
      <c r="B107" s="1" t="s">
        <v>202</v>
      </c>
      <c r="C107" s="2">
        <v>54</v>
      </c>
    </row>
    <row r="108" spans="1:3">
      <c r="A108" s="1" t="s">
        <v>18</v>
      </c>
      <c r="B108" s="1" t="s">
        <v>203</v>
      </c>
      <c r="C108" s="2">
        <v>47</v>
      </c>
    </row>
    <row r="109" spans="1:3">
      <c r="A109" s="1" t="s">
        <v>18</v>
      </c>
      <c r="B109" s="1" t="s">
        <v>191</v>
      </c>
      <c r="C109" s="2">
        <v>54</v>
      </c>
    </row>
    <row r="110" spans="1:3">
      <c r="A110" s="1" t="s">
        <v>18</v>
      </c>
      <c r="B110" s="1" t="s">
        <v>58</v>
      </c>
      <c r="C110" s="2">
        <v>56</v>
      </c>
    </row>
    <row r="111" spans="1:3">
      <c r="A111" s="1" t="s">
        <v>18</v>
      </c>
      <c r="B111" s="1" t="s">
        <v>59</v>
      </c>
      <c r="C111" s="2">
        <v>72</v>
      </c>
    </row>
    <row r="112" spans="1:3">
      <c r="A112" s="1" t="s">
        <v>18</v>
      </c>
      <c r="B112" s="1" t="s">
        <v>61</v>
      </c>
      <c r="C112" s="2">
        <v>3</v>
      </c>
    </row>
    <row r="113" spans="1:3">
      <c r="A113" s="1" t="s">
        <v>18</v>
      </c>
      <c r="B113" s="1" t="s">
        <v>56</v>
      </c>
      <c r="C113" s="2">
        <v>1679</v>
      </c>
    </row>
    <row r="114" spans="1:3">
      <c r="A114" s="1" t="s">
        <v>18</v>
      </c>
      <c r="B114" s="1" t="s">
        <v>63</v>
      </c>
      <c r="C114" s="2">
        <v>11</v>
      </c>
    </row>
    <row r="115" spans="1:3">
      <c r="A115" s="1" t="s">
        <v>18</v>
      </c>
      <c r="B115" s="1" t="s">
        <v>198</v>
      </c>
      <c r="C115" s="2">
        <v>44</v>
      </c>
    </row>
    <row r="116" spans="1:3">
      <c r="A116" s="1" t="s">
        <v>18</v>
      </c>
      <c r="B116" s="1" t="s">
        <v>196</v>
      </c>
      <c r="C116" s="2">
        <v>6</v>
      </c>
    </row>
    <row r="117" spans="1:3">
      <c r="A117" s="1" t="s">
        <v>18</v>
      </c>
      <c r="B117" s="1" t="s">
        <v>202</v>
      </c>
      <c r="C117" s="2">
        <v>16</v>
      </c>
    </row>
    <row r="118" spans="1:3">
      <c r="A118" s="1" t="s">
        <v>19</v>
      </c>
      <c r="B118" s="1" t="s">
        <v>2</v>
      </c>
      <c r="C118" s="2">
        <v>1</v>
      </c>
    </row>
    <row r="119" spans="1:3">
      <c r="A119" s="1" t="s">
        <v>19</v>
      </c>
      <c r="B119" s="1" t="s">
        <v>203</v>
      </c>
      <c r="C119" s="2">
        <v>53</v>
      </c>
    </row>
    <row r="120" spans="1:3">
      <c r="A120" s="1" t="s">
        <v>19</v>
      </c>
      <c r="B120" s="1" t="s">
        <v>191</v>
      </c>
      <c r="C120" s="2">
        <v>59</v>
      </c>
    </row>
    <row r="121" spans="1:3">
      <c r="A121" s="1" t="s">
        <v>19</v>
      </c>
      <c r="B121" s="1" t="s">
        <v>58</v>
      </c>
      <c r="C121" s="2">
        <v>35</v>
      </c>
    </row>
    <row r="122" spans="1:3">
      <c r="A122" s="1" t="s">
        <v>19</v>
      </c>
      <c r="B122" s="1" t="s">
        <v>59</v>
      </c>
      <c r="C122" s="2">
        <v>196</v>
      </c>
    </row>
    <row r="123" spans="1:3">
      <c r="A123" s="1" t="s">
        <v>19</v>
      </c>
      <c r="B123" s="1" t="s">
        <v>61</v>
      </c>
      <c r="C123" s="2">
        <v>2</v>
      </c>
    </row>
    <row r="124" spans="1:3">
      <c r="A124" s="1" t="s">
        <v>19</v>
      </c>
      <c r="B124" s="1" t="s">
        <v>60</v>
      </c>
      <c r="C124" s="2">
        <v>3</v>
      </c>
    </row>
    <row r="125" spans="1:3">
      <c r="A125" s="1" t="s">
        <v>19</v>
      </c>
      <c r="B125" s="1" t="s">
        <v>56</v>
      </c>
      <c r="C125" s="2">
        <v>1965</v>
      </c>
    </row>
    <row r="126" spans="1:3">
      <c r="A126" s="1" t="s">
        <v>19</v>
      </c>
      <c r="B126" s="1" t="s">
        <v>63</v>
      </c>
      <c r="C126" s="2">
        <v>48</v>
      </c>
    </row>
    <row r="127" spans="1:3">
      <c r="A127" s="1" t="s">
        <v>19</v>
      </c>
      <c r="B127" s="1" t="s">
        <v>198</v>
      </c>
      <c r="C127" s="2">
        <v>80</v>
      </c>
    </row>
    <row r="128" spans="1:3">
      <c r="A128" s="1" t="s">
        <v>20</v>
      </c>
      <c r="B128" s="1" t="s">
        <v>203</v>
      </c>
      <c r="C128" s="2">
        <v>73</v>
      </c>
    </row>
    <row r="129" spans="1:3">
      <c r="A129" s="1" t="s">
        <v>20</v>
      </c>
      <c r="B129" s="1" t="s">
        <v>191</v>
      </c>
      <c r="C129" s="2">
        <v>88</v>
      </c>
    </row>
    <row r="130" spans="1:3">
      <c r="A130" s="1" t="s">
        <v>20</v>
      </c>
      <c r="B130" s="1" t="s">
        <v>58</v>
      </c>
      <c r="C130" s="2">
        <v>62</v>
      </c>
    </row>
    <row r="131" spans="1:3">
      <c r="A131" s="1" t="s">
        <v>20</v>
      </c>
      <c r="B131" s="1" t="s">
        <v>59</v>
      </c>
      <c r="C131" s="2">
        <v>31</v>
      </c>
    </row>
    <row r="132" spans="1:3">
      <c r="A132" s="1" t="s">
        <v>20</v>
      </c>
      <c r="B132" s="1" t="s">
        <v>61</v>
      </c>
      <c r="C132" s="2">
        <v>1</v>
      </c>
    </row>
    <row r="133" spans="1:3">
      <c r="A133" s="1" t="s">
        <v>20</v>
      </c>
      <c r="B133" s="1" t="s">
        <v>60</v>
      </c>
      <c r="C133" s="2">
        <v>1</v>
      </c>
    </row>
    <row r="134" spans="1:3">
      <c r="A134" s="1" t="s">
        <v>20</v>
      </c>
      <c r="B134" s="1" t="s">
        <v>56</v>
      </c>
      <c r="C134" s="2">
        <v>2890</v>
      </c>
    </row>
    <row r="135" spans="1:3">
      <c r="A135" s="1" t="s">
        <v>20</v>
      </c>
      <c r="B135" s="1" t="s">
        <v>63</v>
      </c>
      <c r="C135" s="2">
        <v>40</v>
      </c>
    </row>
    <row r="136" spans="1:3">
      <c r="A136" s="1" t="s">
        <v>20</v>
      </c>
      <c r="B136" s="1" t="s">
        <v>198</v>
      </c>
      <c r="C136" s="2">
        <v>65</v>
      </c>
    </row>
    <row r="137" spans="1:3">
      <c r="A137" s="1" t="s">
        <v>21</v>
      </c>
      <c r="B137" s="1" t="s">
        <v>203</v>
      </c>
      <c r="C137" s="2">
        <v>165</v>
      </c>
    </row>
    <row r="138" spans="1:3">
      <c r="A138" s="1" t="s">
        <v>21</v>
      </c>
      <c r="B138" s="1" t="s">
        <v>191</v>
      </c>
      <c r="C138" s="2">
        <v>86</v>
      </c>
    </row>
    <row r="139" spans="1:3">
      <c r="A139" s="1" t="s">
        <v>21</v>
      </c>
      <c r="B139" s="1" t="s">
        <v>58</v>
      </c>
      <c r="C139" s="2">
        <v>61</v>
      </c>
    </row>
    <row r="140" spans="1:3">
      <c r="A140" s="1" t="s">
        <v>21</v>
      </c>
      <c r="B140" s="1" t="s">
        <v>59</v>
      </c>
      <c r="C140" s="2">
        <v>40</v>
      </c>
    </row>
    <row r="141" spans="1:3">
      <c r="A141" s="1" t="s">
        <v>21</v>
      </c>
      <c r="B141" s="1" t="s">
        <v>61</v>
      </c>
      <c r="C141" s="2">
        <v>12</v>
      </c>
    </row>
    <row r="142" spans="1:3">
      <c r="A142" s="1" t="s">
        <v>21</v>
      </c>
      <c r="B142" s="1" t="s">
        <v>56</v>
      </c>
      <c r="C142" s="2">
        <v>2719</v>
      </c>
    </row>
    <row r="143" spans="1:3">
      <c r="A143" s="1" t="s">
        <v>21</v>
      </c>
      <c r="B143" s="1" t="s">
        <v>63</v>
      </c>
      <c r="C143" s="2">
        <v>7</v>
      </c>
    </row>
    <row r="144" spans="1:3">
      <c r="A144" s="1" t="s">
        <v>21</v>
      </c>
      <c r="B144" s="1" t="s">
        <v>198</v>
      </c>
      <c r="C144" s="2">
        <v>30</v>
      </c>
    </row>
    <row r="145" spans="1:3">
      <c r="A145" s="1" t="s">
        <v>22</v>
      </c>
      <c r="B145" s="1" t="s">
        <v>203</v>
      </c>
      <c r="C145" s="2">
        <v>172</v>
      </c>
    </row>
    <row r="146" spans="1:3">
      <c r="A146" s="1" t="s">
        <v>22</v>
      </c>
      <c r="B146" s="1" t="s">
        <v>191</v>
      </c>
      <c r="C146" s="2">
        <v>55</v>
      </c>
    </row>
    <row r="147" spans="1:3">
      <c r="A147" s="1" t="s">
        <v>22</v>
      </c>
      <c r="B147" s="1" t="s">
        <v>58</v>
      </c>
      <c r="C147" s="2">
        <v>89</v>
      </c>
    </row>
    <row r="148" spans="1:3">
      <c r="A148" s="1" t="s">
        <v>22</v>
      </c>
      <c r="B148" s="1" t="s">
        <v>61</v>
      </c>
      <c r="C148" s="2">
        <v>110</v>
      </c>
    </row>
    <row r="149" spans="1:3">
      <c r="A149" s="1" t="s">
        <v>22</v>
      </c>
      <c r="B149" s="1" t="s">
        <v>60</v>
      </c>
      <c r="C149" s="2">
        <v>2</v>
      </c>
    </row>
    <row r="150" spans="1:3">
      <c r="A150" s="1" t="s">
        <v>22</v>
      </c>
      <c r="B150" s="1" t="s">
        <v>56</v>
      </c>
      <c r="C150" s="2">
        <v>2122</v>
      </c>
    </row>
    <row r="151" spans="1:3">
      <c r="A151" s="1" t="s">
        <v>22</v>
      </c>
      <c r="B151" s="1" t="s">
        <v>198</v>
      </c>
      <c r="C151" s="2">
        <v>47</v>
      </c>
    </row>
    <row r="152" spans="1:3">
      <c r="A152" s="1" t="s">
        <v>23</v>
      </c>
      <c r="B152" s="1" t="s">
        <v>203</v>
      </c>
      <c r="C152" s="2">
        <v>120</v>
      </c>
    </row>
    <row r="153" spans="1:3">
      <c r="A153" s="1" t="s">
        <v>23</v>
      </c>
      <c r="B153" s="1" t="s">
        <v>191</v>
      </c>
      <c r="C153" s="2">
        <v>70</v>
      </c>
    </row>
    <row r="154" spans="1:3">
      <c r="A154" s="1" t="s">
        <v>23</v>
      </c>
      <c r="B154" s="1" t="s">
        <v>58</v>
      </c>
      <c r="C154" s="2">
        <v>111</v>
      </c>
    </row>
    <row r="155" spans="1:3">
      <c r="A155" s="1" t="s">
        <v>23</v>
      </c>
      <c r="B155" s="1" t="s">
        <v>61</v>
      </c>
      <c r="C155" s="2">
        <v>105</v>
      </c>
    </row>
    <row r="156" spans="1:3">
      <c r="A156" s="1" t="s">
        <v>23</v>
      </c>
      <c r="B156" s="1" t="s">
        <v>60</v>
      </c>
      <c r="C156" s="2">
        <v>2</v>
      </c>
    </row>
    <row r="157" spans="1:3">
      <c r="A157" s="1" t="s">
        <v>23</v>
      </c>
      <c r="B157" s="1" t="s">
        <v>56</v>
      </c>
      <c r="C157" s="2">
        <v>1699</v>
      </c>
    </row>
    <row r="158" spans="1:3">
      <c r="A158" s="1" t="s">
        <v>23</v>
      </c>
      <c r="B158" s="1" t="s">
        <v>204</v>
      </c>
      <c r="C158" s="2">
        <v>1</v>
      </c>
    </row>
    <row r="159" spans="1:3">
      <c r="A159" s="1" t="s">
        <v>23</v>
      </c>
      <c r="B159" s="1" t="s">
        <v>205</v>
      </c>
      <c r="C159" s="2">
        <v>2</v>
      </c>
    </row>
    <row r="160" spans="1:3">
      <c r="A160" s="1" t="s">
        <v>23</v>
      </c>
      <c r="B160" s="1" t="s">
        <v>63</v>
      </c>
      <c r="C160" s="2">
        <v>7</v>
      </c>
    </row>
    <row r="161" spans="1:3">
      <c r="A161" s="1" t="s">
        <v>23</v>
      </c>
      <c r="B161" s="1" t="s">
        <v>198</v>
      </c>
      <c r="C161" s="2">
        <v>47</v>
      </c>
    </row>
    <row r="162" spans="1:3">
      <c r="A162" s="1" t="s">
        <v>24</v>
      </c>
      <c r="B162" s="1" t="s">
        <v>203</v>
      </c>
      <c r="C162" s="2">
        <v>81</v>
      </c>
    </row>
    <row r="163" spans="1:3">
      <c r="A163" s="1" t="s">
        <v>24</v>
      </c>
      <c r="B163" s="1" t="s">
        <v>191</v>
      </c>
      <c r="C163" s="2">
        <v>101</v>
      </c>
    </row>
    <row r="164" spans="1:3">
      <c r="A164" s="1" t="s">
        <v>24</v>
      </c>
      <c r="B164" s="1" t="s">
        <v>58</v>
      </c>
      <c r="C164" s="2">
        <v>49</v>
      </c>
    </row>
    <row r="165" spans="1:3">
      <c r="A165" s="1" t="s">
        <v>24</v>
      </c>
      <c r="B165" s="1" t="s">
        <v>59</v>
      </c>
      <c r="C165" s="2">
        <v>41</v>
      </c>
    </row>
    <row r="166" spans="1:3">
      <c r="A166" s="1" t="s">
        <v>24</v>
      </c>
      <c r="B166" s="1" t="s">
        <v>61</v>
      </c>
      <c r="C166" s="2">
        <v>146</v>
      </c>
    </row>
    <row r="167" spans="1:3">
      <c r="A167" s="1" t="s">
        <v>24</v>
      </c>
      <c r="B167" s="1" t="s">
        <v>60</v>
      </c>
      <c r="C167" s="2">
        <v>1</v>
      </c>
    </row>
    <row r="168" spans="1:3">
      <c r="A168" s="1" t="s">
        <v>24</v>
      </c>
      <c r="B168" s="1" t="s">
        <v>56</v>
      </c>
      <c r="C168" s="2">
        <v>1495</v>
      </c>
    </row>
    <row r="169" spans="1:3">
      <c r="A169" s="1" t="s">
        <v>24</v>
      </c>
      <c r="B169" s="1" t="s">
        <v>205</v>
      </c>
      <c r="C169" s="2">
        <v>6</v>
      </c>
    </row>
    <row r="170" spans="1:3">
      <c r="A170" s="1" t="s">
        <v>24</v>
      </c>
      <c r="B170" s="1" t="s">
        <v>63</v>
      </c>
      <c r="C170" s="2">
        <v>40</v>
      </c>
    </row>
    <row r="171" spans="1:3">
      <c r="A171" s="1" t="s">
        <v>24</v>
      </c>
      <c r="B171" s="1" t="s">
        <v>198</v>
      </c>
      <c r="C171" s="2">
        <v>76</v>
      </c>
    </row>
    <row r="172" spans="1:3">
      <c r="A172" s="1" t="s">
        <v>25</v>
      </c>
      <c r="B172" s="1" t="s">
        <v>203</v>
      </c>
      <c r="C172" s="2">
        <v>132</v>
      </c>
    </row>
    <row r="173" spans="1:3">
      <c r="A173" s="1" t="s">
        <v>25</v>
      </c>
      <c r="B173" s="1" t="s">
        <v>191</v>
      </c>
      <c r="C173" s="2">
        <v>96</v>
      </c>
    </row>
    <row r="174" spans="1:3">
      <c r="A174" s="1" t="s">
        <v>25</v>
      </c>
      <c r="B174" s="1" t="s">
        <v>58</v>
      </c>
      <c r="C174" s="2">
        <v>166</v>
      </c>
    </row>
    <row r="175" spans="1:3">
      <c r="A175" s="1" t="s">
        <v>25</v>
      </c>
      <c r="B175" s="1" t="s">
        <v>59</v>
      </c>
      <c r="C175" s="2">
        <v>81</v>
      </c>
    </row>
    <row r="176" spans="1:3">
      <c r="A176" s="1" t="s">
        <v>25</v>
      </c>
      <c r="B176" s="1" t="s">
        <v>61</v>
      </c>
      <c r="C176" s="2">
        <v>164</v>
      </c>
    </row>
    <row r="177" spans="1:3">
      <c r="A177" s="1" t="s">
        <v>25</v>
      </c>
      <c r="B177" s="1" t="s">
        <v>56</v>
      </c>
      <c r="C177" s="2">
        <v>1771</v>
      </c>
    </row>
    <row r="178" spans="1:3">
      <c r="A178" s="1" t="s">
        <v>25</v>
      </c>
      <c r="B178" s="1" t="s">
        <v>205</v>
      </c>
      <c r="C178" s="2">
        <v>5</v>
      </c>
    </row>
    <row r="179" spans="1:3">
      <c r="A179" s="1" t="s">
        <v>25</v>
      </c>
      <c r="B179" s="1" t="s">
        <v>63</v>
      </c>
      <c r="C179" s="2">
        <v>21</v>
      </c>
    </row>
    <row r="180" spans="1:3">
      <c r="A180" s="1" t="s">
        <v>25</v>
      </c>
      <c r="B180" s="1" t="s">
        <v>198</v>
      </c>
      <c r="C180" s="2">
        <v>92</v>
      </c>
    </row>
    <row r="181" spans="1:3">
      <c r="A181" s="1" t="s">
        <v>25</v>
      </c>
      <c r="B181" s="1" t="s">
        <v>196</v>
      </c>
      <c r="C181" s="2">
        <v>1</v>
      </c>
    </row>
    <row r="182" spans="1:3">
      <c r="A182" s="1" t="s">
        <v>26</v>
      </c>
      <c r="B182" s="1" t="s">
        <v>203</v>
      </c>
      <c r="C182" s="2">
        <v>305</v>
      </c>
    </row>
    <row r="183" spans="1:3">
      <c r="A183" s="1" t="s">
        <v>26</v>
      </c>
      <c r="B183" s="1" t="s">
        <v>191</v>
      </c>
      <c r="C183" s="2">
        <v>73</v>
      </c>
    </row>
    <row r="184" spans="1:3">
      <c r="A184" s="1" t="s">
        <v>26</v>
      </c>
      <c r="B184" s="1" t="s">
        <v>206</v>
      </c>
      <c r="C184" s="2">
        <v>1</v>
      </c>
    </row>
    <row r="185" spans="1:3">
      <c r="A185" s="1" t="s">
        <v>26</v>
      </c>
      <c r="B185" s="1" t="s">
        <v>58</v>
      </c>
      <c r="C185" s="2">
        <v>51</v>
      </c>
    </row>
    <row r="186" spans="1:3">
      <c r="A186" s="1" t="s">
        <v>26</v>
      </c>
      <c r="B186" s="1" t="s">
        <v>59</v>
      </c>
      <c r="C186" s="2">
        <v>81</v>
      </c>
    </row>
    <row r="187" spans="1:3">
      <c r="A187" s="1" t="s">
        <v>26</v>
      </c>
      <c r="B187" s="1" t="s">
        <v>61</v>
      </c>
      <c r="C187" s="2">
        <v>152</v>
      </c>
    </row>
    <row r="188" spans="1:3">
      <c r="A188" s="1" t="s">
        <v>26</v>
      </c>
      <c r="B188" s="1" t="s">
        <v>60</v>
      </c>
      <c r="C188" s="2">
        <v>1</v>
      </c>
    </row>
    <row r="189" spans="1:3">
      <c r="A189" s="1" t="s">
        <v>26</v>
      </c>
      <c r="B189" s="1" t="s">
        <v>56</v>
      </c>
      <c r="C189" s="2">
        <v>1894</v>
      </c>
    </row>
    <row r="190" spans="1:3">
      <c r="A190" s="1" t="s">
        <v>26</v>
      </c>
      <c r="B190" s="1" t="s">
        <v>205</v>
      </c>
      <c r="C190" s="2">
        <v>4</v>
      </c>
    </row>
    <row r="191" spans="1:3">
      <c r="A191" s="1" t="s">
        <v>26</v>
      </c>
      <c r="B191" s="1" t="s">
        <v>198</v>
      </c>
      <c r="C191" s="2">
        <v>202</v>
      </c>
    </row>
    <row r="192" spans="1:3">
      <c r="A192" s="1" t="s">
        <v>27</v>
      </c>
      <c r="B192" s="1" t="s">
        <v>203</v>
      </c>
      <c r="C192" s="2">
        <v>145</v>
      </c>
    </row>
    <row r="193" spans="1:3">
      <c r="A193" s="1" t="s">
        <v>27</v>
      </c>
      <c r="B193" s="1" t="s">
        <v>191</v>
      </c>
      <c r="C193" s="2">
        <v>154</v>
      </c>
    </row>
    <row r="194" spans="1:3">
      <c r="A194" s="1" t="s">
        <v>27</v>
      </c>
      <c r="B194" s="1" t="s">
        <v>206</v>
      </c>
      <c r="C194" s="2">
        <v>13</v>
      </c>
    </row>
    <row r="195" spans="1:3">
      <c r="A195" s="1" t="s">
        <v>27</v>
      </c>
      <c r="B195" s="1" t="s">
        <v>58</v>
      </c>
      <c r="C195" s="2">
        <v>39</v>
      </c>
    </row>
    <row r="196" spans="1:3">
      <c r="A196" s="1" t="s">
        <v>27</v>
      </c>
      <c r="B196" s="1" t="s">
        <v>59</v>
      </c>
      <c r="C196" s="2">
        <v>100</v>
      </c>
    </row>
    <row r="197" spans="1:3">
      <c r="A197" s="1" t="s">
        <v>27</v>
      </c>
      <c r="B197" s="1" t="s">
        <v>61</v>
      </c>
      <c r="C197" s="2">
        <v>29</v>
      </c>
    </row>
    <row r="198" spans="1:3">
      <c r="A198" s="1" t="s">
        <v>27</v>
      </c>
      <c r="B198" s="1" t="s">
        <v>56</v>
      </c>
      <c r="C198" s="2">
        <v>282</v>
      </c>
    </row>
    <row r="199" spans="1:3">
      <c r="A199" s="1" t="s">
        <v>27</v>
      </c>
      <c r="B199" s="1" t="s">
        <v>205</v>
      </c>
      <c r="C199" s="2">
        <v>6</v>
      </c>
    </row>
    <row r="200" spans="1:3">
      <c r="A200" s="1" t="s">
        <v>27</v>
      </c>
      <c r="B200" s="1" t="s">
        <v>198</v>
      </c>
      <c r="C200" s="2">
        <v>632</v>
      </c>
    </row>
    <row r="201" spans="1:3">
      <c r="A201" s="1" t="s">
        <v>27</v>
      </c>
      <c r="B201" s="1" t="s">
        <v>196</v>
      </c>
      <c r="C201" s="2">
        <v>1</v>
      </c>
    </row>
    <row r="202" spans="1:3">
      <c r="A202" s="1" t="s">
        <v>28</v>
      </c>
      <c r="B202" s="1" t="s">
        <v>203</v>
      </c>
      <c r="C202" s="2">
        <v>26</v>
      </c>
    </row>
    <row r="203" spans="1:3">
      <c r="A203" s="1" t="s">
        <v>28</v>
      </c>
      <c r="B203" s="1" t="s">
        <v>206</v>
      </c>
      <c r="C203" s="2">
        <v>111</v>
      </c>
    </row>
    <row r="204" spans="1:3">
      <c r="A204" s="1" t="s">
        <v>28</v>
      </c>
      <c r="B204" s="1" t="s">
        <v>58</v>
      </c>
      <c r="C204" s="2">
        <v>20</v>
      </c>
    </row>
    <row r="205" spans="1:3">
      <c r="A205" s="1" t="s">
        <v>28</v>
      </c>
      <c r="B205" s="1" t="s">
        <v>59</v>
      </c>
      <c r="C205" s="2">
        <v>137</v>
      </c>
    </row>
    <row r="206" spans="1:3">
      <c r="A206" s="1" t="s">
        <v>28</v>
      </c>
      <c r="B206" s="1" t="s">
        <v>61</v>
      </c>
      <c r="C206" s="2">
        <v>29</v>
      </c>
    </row>
    <row r="207" spans="1:3">
      <c r="A207" s="1" t="s">
        <v>28</v>
      </c>
      <c r="B207" s="1" t="s">
        <v>57</v>
      </c>
      <c r="C207" s="2">
        <v>69</v>
      </c>
    </row>
    <row r="208" spans="1:3">
      <c r="A208" s="1" t="s">
        <v>28</v>
      </c>
      <c r="B208" s="1" t="s">
        <v>56</v>
      </c>
      <c r="C208" s="2">
        <v>770</v>
      </c>
    </row>
    <row r="209" spans="1:3">
      <c r="A209" s="1" t="s">
        <v>28</v>
      </c>
      <c r="B209" s="1" t="s">
        <v>205</v>
      </c>
      <c r="C209" s="2">
        <v>1</v>
      </c>
    </row>
    <row r="210" spans="1:3">
      <c r="A210" s="1" t="s">
        <v>28</v>
      </c>
      <c r="B210" s="1" t="s">
        <v>198</v>
      </c>
      <c r="C210" s="2">
        <v>231</v>
      </c>
    </row>
    <row r="211" spans="1:3">
      <c r="A211" s="1" t="s">
        <v>28</v>
      </c>
      <c r="B211" s="1" t="s">
        <v>196</v>
      </c>
      <c r="C211" s="2">
        <v>1</v>
      </c>
    </row>
    <row r="212" spans="1:3">
      <c r="A212" s="1" t="s">
        <v>29</v>
      </c>
      <c r="B212" s="1" t="s">
        <v>203</v>
      </c>
      <c r="C212" s="2">
        <v>21</v>
      </c>
    </row>
    <row r="213" spans="1:3">
      <c r="A213" s="1" t="s">
        <v>29</v>
      </c>
      <c r="B213" s="1" t="s">
        <v>206</v>
      </c>
      <c r="C213" s="2">
        <v>197</v>
      </c>
    </row>
    <row r="214" spans="1:3">
      <c r="A214" s="1" t="s">
        <v>29</v>
      </c>
      <c r="B214" s="1" t="s">
        <v>58</v>
      </c>
      <c r="C214" s="2">
        <v>48</v>
      </c>
    </row>
    <row r="215" spans="1:3">
      <c r="A215" s="1" t="s">
        <v>29</v>
      </c>
      <c r="B215" s="1" t="s">
        <v>59</v>
      </c>
      <c r="C215" s="2">
        <v>249</v>
      </c>
    </row>
    <row r="216" spans="1:3">
      <c r="A216" s="1" t="s">
        <v>29</v>
      </c>
      <c r="B216" s="1" t="s">
        <v>61</v>
      </c>
      <c r="C216" s="2">
        <v>119</v>
      </c>
    </row>
    <row r="217" spans="1:3">
      <c r="A217" s="1" t="s">
        <v>29</v>
      </c>
      <c r="B217" s="1" t="s">
        <v>57</v>
      </c>
      <c r="C217" s="2">
        <v>75</v>
      </c>
    </row>
    <row r="218" spans="1:3">
      <c r="A218" s="1" t="s">
        <v>29</v>
      </c>
      <c r="B218" s="1" t="s">
        <v>56</v>
      </c>
      <c r="C218" s="2">
        <v>1153</v>
      </c>
    </row>
    <row r="219" spans="1:3">
      <c r="A219" s="1" t="s">
        <v>29</v>
      </c>
      <c r="B219" s="1" t="s">
        <v>205</v>
      </c>
      <c r="C219" s="2">
        <v>3</v>
      </c>
    </row>
    <row r="220" spans="1:3">
      <c r="A220" s="1" t="s">
        <v>29</v>
      </c>
      <c r="B220" s="1" t="s">
        <v>63</v>
      </c>
      <c r="C220" s="2">
        <v>6</v>
      </c>
    </row>
    <row r="221" spans="1:3">
      <c r="A221" s="1" t="s">
        <v>29</v>
      </c>
      <c r="B221" s="1" t="s">
        <v>198</v>
      </c>
      <c r="C221" s="2">
        <v>217</v>
      </c>
    </row>
    <row r="222" spans="1:3">
      <c r="A222" s="1" t="s">
        <v>29</v>
      </c>
      <c r="B222" s="1" t="s">
        <v>196</v>
      </c>
      <c r="C222" s="2">
        <v>3</v>
      </c>
    </row>
    <row r="223" spans="1:3">
      <c r="A223" s="1" t="s">
        <v>30</v>
      </c>
      <c r="B223" s="1" t="s">
        <v>203</v>
      </c>
      <c r="C223" s="2">
        <v>49</v>
      </c>
    </row>
    <row r="224" spans="1:3">
      <c r="A224" s="1" t="s">
        <v>30</v>
      </c>
      <c r="B224" s="1" t="s">
        <v>207</v>
      </c>
      <c r="C224" s="2">
        <v>55</v>
      </c>
    </row>
    <row r="225" spans="1:3">
      <c r="A225" s="1" t="s">
        <v>30</v>
      </c>
      <c r="B225" s="1" t="s">
        <v>206</v>
      </c>
      <c r="C225" s="2">
        <v>177</v>
      </c>
    </row>
    <row r="226" spans="1:3">
      <c r="A226" s="1" t="s">
        <v>30</v>
      </c>
      <c r="B226" s="1" t="s">
        <v>58</v>
      </c>
      <c r="C226" s="2">
        <v>175</v>
      </c>
    </row>
    <row r="227" spans="1:3">
      <c r="A227" s="1" t="s">
        <v>30</v>
      </c>
      <c r="B227" s="1" t="s">
        <v>65</v>
      </c>
      <c r="C227" s="2">
        <v>3</v>
      </c>
    </row>
    <row r="228" spans="1:3">
      <c r="A228" s="1" t="s">
        <v>30</v>
      </c>
      <c r="B228" s="1" t="s">
        <v>59</v>
      </c>
      <c r="C228" s="2">
        <v>117</v>
      </c>
    </row>
    <row r="229" spans="1:3">
      <c r="A229" s="1" t="s">
        <v>30</v>
      </c>
      <c r="B229" s="1" t="s">
        <v>61</v>
      </c>
      <c r="C229" s="2">
        <v>121</v>
      </c>
    </row>
    <row r="230" spans="1:3">
      <c r="A230" s="1" t="s">
        <v>30</v>
      </c>
      <c r="B230" s="1" t="s">
        <v>57</v>
      </c>
      <c r="C230" s="2">
        <v>55</v>
      </c>
    </row>
    <row r="231" spans="1:3">
      <c r="A231" s="1" t="s">
        <v>30</v>
      </c>
      <c r="B231" s="1" t="s">
        <v>56</v>
      </c>
      <c r="C231" s="2">
        <v>1004</v>
      </c>
    </row>
    <row r="232" spans="1:3">
      <c r="A232" s="1" t="s">
        <v>30</v>
      </c>
      <c r="B232" s="1" t="s">
        <v>205</v>
      </c>
      <c r="C232" s="2">
        <v>5</v>
      </c>
    </row>
    <row r="233" spans="1:3">
      <c r="A233" s="1" t="s">
        <v>30</v>
      </c>
      <c r="B233" s="1" t="s">
        <v>198</v>
      </c>
      <c r="C233" s="2">
        <v>51</v>
      </c>
    </row>
    <row r="234" spans="1:3">
      <c r="A234" s="1" t="s">
        <v>30</v>
      </c>
      <c r="B234" s="1" t="s">
        <v>66</v>
      </c>
      <c r="C234" s="2">
        <v>5</v>
      </c>
    </row>
    <row r="235" spans="1:3">
      <c r="A235" s="1" t="s">
        <v>30</v>
      </c>
      <c r="B235" s="1" t="s">
        <v>196</v>
      </c>
      <c r="C235" s="2">
        <v>2</v>
      </c>
    </row>
    <row r="236" spans="1:3">
      <c r="A236" s="1" t="s">
        <v>31</v>
      </c>
      <c r="B236" s="1" t="s">
        <v>207</v>
      </c>
      <c r="C236" s="2">
        <v>86</v>
      </c>
    </row>
    <row r="237" spans="1:3">
      <c r="A237" s="1" t="s">
        <v>31</v>
      </c>
      <c r="B237" s="1" t="s">
        <v>206</v>
      </c>
      <c r="C237" s="2">
        <v>221</v>
      </c>
    </row>
    <row r="238" spans="1:3">
      <c r="A238" s="1" t="s">
        <v>31</v>
      </c>
      <c r="B238" s="1" t="s">
        <v>58</v>
      </c>
      <c r="C238" s="2">
        <v>97</v>
      </c>
    </row>
    <row r="239" spans="1:3">
      <c r="A239" s="1" t="s">
        <v>31</v>
      </c>
      <c r="B239" s="1" t="s">
        <v>65</v>
      </c>
      <c r="C239" s="2">
        <v>13</v>
      </c>
    </row>
    <row r="240" spans="1:3">
      <c r="A240" s="1" t="s">
        <v>31</v>
      </c>
      <c r="B240" s="1" t="s">
        <v>59</v>
      </c>
      <c r="C240" s="2">
        <v>113</v>
      </c>
    </row>
    <row r="241" spans="1:3">
      <c r="A241" s="1" t="s">
        <v>31</v>
      </c>
      <c r="B241" s="1" t="s">
        <v>61</v>
      </c>
      <c r="C241" s="2">
        <v>115</v>
      </c>
    </row>
    <row r="242" spans="1:3">
      <c r="A242" s="1" t="s">
        <v>31</v>
      </c>
      <c r="B242" s="1" t="s">
        <v>57</v>
      </c>
      <c r="C242" s="2">
        <v>37</v>
      </c>
    </row>
    <row r="243" spans="1:3">
      <c r="A243" s="1" t="s">
        <v>31</v>
      </c>
      <c r="B243" s="1" t="s">
        <v>56</v>
      </c>
      <c r="C243" s="2">
        <v>1062</v>
      </c>
    </row>
    <row r="244" spans="1:3">
      <c r="A244" s="1" t="s">
        <v>31</v>
      </c>
      <c r="B244" s="1" t="s">
        <v>205</v>
      </c>
      <c r="C244" s="2">
        <v>16</v>
      </c>
    </row>
    <row r="245" spans="1:3">
      <c r="A245" s="1" t="s">
        <v>31</v>
      </c>
      <c r="B245" s="1" t="s">
        <v>208</v>
      </c>
      <c r="C245" s="2">
        <v>123</v>
      </c>
    </row>
    <row r="246" spans="1:3">
      <c r="A246" s="1" t="s">
        <v>31</v>
      </c>
      <c r="B246" s="1" t="s">
        <v>196</v>
      </c>
      <c r="C246" s="2">
        <v>1</v>
      </c>
    </row>
    <row r="247" spans="1:3">
      <c r="A247" s="1" t="s">
        <v>32</v>
      </c>
      <c r="B247" s="1" t="s">
        <v>207</v>
      </c>
      <c r="C247" s="2">
        <v>218</v>
      </c>
    </row>
    <row r="248" spans="1:3">
      <c r="A248" s="1" t="s">
        <v>32</v>
      </c>
      <c r="B248" s="1" t="s">
        <v>206</v>
      </c>
      <c r="C248" s="2">
        <v>234</v>
      </c>
    </row>
    <row r="249" spans="1:3">
      <c r="A249" s="1" t="s">
        <v>32</v>
      </c>
      <c r="B249" s="1" t="s">
        <v>58</v>
      </c>
      <c r="C249" s="2">
        <v>150</v>
      </c>
    </row>
    <row r="250" spans="1:3">
      <c r="A250" s="1" t="s">
        <v>32</v>
      </c>
      <c r="B250" s="1" t="s">
        <v>65</v>
      </c>
      <c r="C250" s="2">
        <v>15</v>
      </c>
    </row>
    <row r="251" spans="1:3">
      <c r="A251" s="1" t="s">
        <v>32</v>
      </c>
      <c r="B251" s="1" t="s">
        <v>59</v>
      </c>
      <c r="C251" s="2">
        <v>125</v>
      </c>
    </row>
    <row r="252" spans="1:3">
      <c r="A252" s="1" t="s">
        <v>32</v>
      </c>
      <c r="B252" s="1" t="s">
        <v>61</v>
      </c>
      <c r="C252" s="2">
        <v>93</v>
      </c>
    </row>
    <row r="253" spans="1:3">
      <c r="A253" s="1" t="s">
        <v>32</v>
      </c>
      <c r="B253" s="1" t="s">
        <v>57</v>
      </c>
      <c r="C253" s="2">
        <v>61</v>
      </c>
    </row>
    <row r="254" spans="1:3">
      <c r="A254" s="1" t="s">
        <v>32</v>
      </c>
      <c r="B254" s="1" t="s">
        <v>56</v>
      </c>
      <c r="C254" s="2">
        <v>906</v>
      </c>
    </row>
    <row r="255" spans="1:3">
      <c r="A255" s="1" t="s">
        <v>32</v>
      </c>
      <c r="B255" s="1" t="s">
        <v>205</v>
      </c>
      <c r="C255" s="2">
        <v>11</v>
      </c>
    </row>
    <row r="256" spans="1:3">
      <c r="A256" s="1" t="s">
        <v>32</v>
      </c>
      <c r="B256" s="1" t="s">
        <v>208</v>
      </c>
      <c r="C256" s="2">
        <v>90</v>
      </c>
    </row>
    <row r="257" spans="1:3">
      <c r="A257" s="1" t="s">
        <v>32</v>
      </c>
      <c r="B257" s="1" t="s">
        <v>196</v>
      </c>
      <c r="C257" s="2">
        <v>1</v>
      </c>
    </row>
    <row r="258" spans="1:3">
      <c r="A258" s="1" t="s">
        <v>33</v>
      </c>
      <c r="B258" s="1" t="s">
        <v>207</v>
      </c>
      <c r="C258" s="2">
        <v>289</v>
      </c>
    </row>
    <row r="259" spans="1:3">
      <c r="A259" s="1" t="s">
        <v>33</v>
      </c>
      <c r="B259" s="1" t="s">
        <v>206</v>
      </c>
      <c r="C259" s="2">
        <v>197</v>
      </c>
    </row>
    <row r="260" spans="1:3">
      <c r="A260" s="1" t="s">
        <v>33</v>
      </c>
      <c r="B260" s="1" t="s">
        <v>58</v>
      </c>
      <c r="C260" s="2">
        <v>49</v>
      </c>
    </row>
    <row r="261" spans="1:3">
      <c r="A261" s="1" t="s">
        <v>33</v>
      </c>
      <c r="B261" s="1" t="s">
        <v>65</v>
      </c>
      <c r="C261" s="2">
        <v>13</v>
      </c>
    </row>
    <row r="262" spans="1:3">
      <c r="A262" s="1" t="s">
        <v>33</v>
      </c>
      <c r="B262" s="1" t="s">
        <v>59</v>
      </c>
      <c r="C262" s="2">
        <v>146</v>
      </c>
    </row>
    <row r="263" spans="1:3">
      <c r="A263" s="1" t="s">
        <v>33</v>
      </c>
      <c r="B263" s="1" t="s">
        <v>61</v>
      </c>
      <c r="C263" s="2">
        <v>189</v>
      </c>
    </row>
    <row r="264" spans="1:3">
      <c r="A264" s="1" t="s">
        <v>33</v>
      </c>
      <c r="B264" s="1" t="s">
        <v>67</v>
      </c>
      <c r="C264" s="2">
        <v>21</v>
      </c>
    </row>
    <row r="265" spans="1:3">
      <c r="A265" s="1" t="s">
        <v>33</v>
      </c>
      <c r="B265" s="1" t="s">
        <v>60</v>
      </c>
      <c r="C265" s="2">
        <v>1</v>
      </c>
    </row>
    <row r="266" spans="1:3">
      <c r="A266" s="1" t="s">
        <v>33</v>
      </c>
      <c r="B266" s="1" t="s">
        <v>57</v>
      </c>
      <c r="C266" s="2">
        <v>103</v>
      </c>
    </row>
    <row r="267" spans="1:3">
      <c r="A267" s="1" t="s">
        <v>33</v>
      </c>
      <c r="B267" s="1" t="s">
        <v>56</v>
      </c>
      <c r="C267" s="2">
        <v>776</v>
      </c>
    </row>
    <row r="268" spans="1:3">
      <c r="A268" s="1" t="s">
        <v>33</v>
      </c>
      <c r="B268" s="1" t="s">
        <v>205</v>
      </c>
      <c r="C268" s="2">
        <v>6</v>
      </c>
    </row>
    <row r="269" spans="1:3">
      <c r="A269" s="1" t="s">
        <v>33</v>
      </c>
      <c r="B269" s="1" t="s">
        <v>208</v>
      </c>
      <c r="C269" s="2">
        <v>19</v>
      </c>
    </row>
    <row r="270" spans="1:3">
      <c r="A270" s="1" t="s">
        <v>34</v>
      </c>
      <c r="B270" s="1" t="s">
        <v>209</v>
      </c>
      <c r="C270" s="2">
        <v>55</v>
      </c>
    </row>
    <row r="271" spans="1:3">
      <c r="A271" s="1" t="s">
        <v>34</v>
      </c>
      <c r="B271" s="1" t="s">
        <v>207</v>
      </c>
      <c r="C271" s="2">
        <v>156</v>
      </c>
    </row>
    <row r="272" spans="1:3">
      <c r="A272" s="1" t="s">
        <v>34</v>
      </c>
      <c r="B272" s="1" t="s">
        <v>206</v>
      </c>
      <c r="C272" s="2">
        <v>241</v>
      </c>
    </row>
    <row r="273" spans="1:3">
      <c r="A273" s="1" t="s">
        <v>34</v>
      </c>
      <c r="B273" s="1" t="s">
        <v>58</v>
      </c>
      <c r="C273" s="2">
        <v>80</v>
      </c>
    </row>
    <row r="274" spans="1:3">
      <c r="A274" s="1" t="s">
        <v>34</v>
      </c>
      <c r="B274" s="1" t="s">
        <v>65</v>
      </c>
      <c r="C274" s="2">
        <v>15</v>
      </c>
    </row>
    <row r="275" spans="1:3">
      <c r="A275" s="1" t="s">
        <v>34</v>
      </c>
      <c r="B275" s="1" t="s">
        <v>59</v>
      </c>
      <c r="C275" s="2">
        <v>211</v>
      </c>
    </row>
    <row r="276" spans="1:3">
      <c r="A276" s="1" t="s">
        <v>34</v>
      </c>
      <c r="B276" s="1" t="s">
        <v>61</v>
      </c>
      <c r="C276" s="2">
        <v>148</v>
      </c>
    </row>
    <row r="277" spans="1:3">
      <c r="A277" s="1" t="s">
        <v>34</v>
      </c>
      <c r="B277" s="1" t="s">
        <v>67</v>
      </c>
      <c r="C277" s="2">
        <v>2</v>
      </c>
    </row>
    <row r="278" spans="1:3">
      <c r="A278" s="1" t="s">
        <v>34</v>
      </c>
      <c r="B278" s="1" t="s">
        <v>60</v>
      </c>
      <c r="C278" s="2">
        <v>1</v>
      </c>
    </row>
    <row r="279" spans="1:3">
      <c r="A279" s="1" t="s">
        <v>34</v>
      </c>
      <c r="B279" s="1" t="s">
        <v>57</v>
      </c>
      <c r="C279" s="2">
        <v>70</v>
      </c>
    </row>
    <row r="280" spans="1:3">
      <c r="A280" s="1" t="s">
        <v>34</v>
      </c>
      <c r="B280" s="1" t="s">
        <v>56</v>
      </c>
      <c r="C280" s="2">
        <v>629</v>
      </c>
    </row>
    <row r="281" spans="1:3">
      <c r="A281" s="1" t="s">
        <v>34</v>
      </c>
      <c r="B281" s="1" t="s">
        <v>205</v>
      </c>
      <c r="C281" s="2">
        <v>6</v>
      </c>
    </row>
    <row r="282" spans="1:3">
      <c r="A282" s="1" t="s">
        <v>34</v>
      </c>
      <c r="B282" s="1" t="s">
        <v>196</v>
      </c>
      <c r="C282" s="2">
        <v>1</v>
      </c>
    </row>
    <row r="283" spans="1:3">
      <c r="A283" s="1" t="s">
        <v>35</v>
      </c>
      <c r="B283" s="1" t="s">
        <v>209</v>
      </c>
      <c r="C283" s="2">
        <v>208</v>
      </c>
    </row>
    <row r="284" spans="1:3">
      <c r="A284" s="1" t="s">
        <v>35</v>
      </c>
      <c r="B284" s="1" t="s">
        <v>206</v>
      </c>
      <c r="C284" s="2">
        <v>211</v>
      </c>
    </row>
    <row r="285" spans="1:3">
      <c r="A285" s="1" t="s">
        <v>35</v>
      </c>
      <c r="B285" s="1" t="s">
        <v>58</v>
      </c>
      <c r="C285" s="2">
        <v>445</v>
      </c>
    </row>
    <row r="286" spans="1:3">
      <c r="A286" s="1" t="s">
        <v>35</v>
      </c>
      <c r="B286" s="1" t="s">
        <v>65</v>
      </c>
      <c r="C286" s="2">
        <v>2</v>
      </c>
    </row>
    <row r="287" spans="1:3">
      <c r="A287" s="1" t="s">
        <v>35</v>
      </c>
      <c r="B287" s="1" t="s">
        <v>59</v>
      </c>
      <c r="C287" s="2">
        <v>353</v>
      </c>
    </row>
    <row r="288" spans="1:3">
      <c r="A288" s="1" t="s">
        <v>35</v>
      </c>
      <c r="B288" s="1" t="s">
        <v>61</v>
      </c>
      <c r="C288" s="2">
        <v>118</v>
      </c>
    </row>
    <row r="289" spans="1:3">
      <c r="A289" s="1" t="s">
        <v>35</v>
      </c>
      <c r="B289" s="1" t="s">
        <v>57</v>
      </c>
      <c r="C289" s="2">
        <v>80</v>
      </c>
    </row>
    <row r="290" spans="1:3">
      <c r="A290" s="1" t="s">
        <v>35</v>
      </c>
      <c r="B290" s="1" t="s">
        <v>56</v>
      </c>
      <c r="C290" s="2">
        <v>953</v>
      </c>
    </row>
    <row r="291" spans="1:3">
      <c r="A291" s="1" t="s">
        <v>35</v>
      </c>
      <c r="B291" s="1" t="s">
        <v>205</v>
      </c>
      <c r="C291" s="2">
        <v>2</v>
      </c>
    </row>
    <row r="292" spans="1:3">
      <c r="A292" s="1" t="s">
        <v>35</v>
      </c>
      <c r="B292" s="1" t="s">
        <v>196</v>
      </c>
      <c r="C292" s="2">
        <v>1</v>
      </c>
    </row>
    <row r="293" spans="1:3">
      <c r="A293" s="1" t="s">
        <v>36</v>
      </c>
      <c r="B293" s="1" t="s">
        <v>209</v>
      </c>
      <c r="C293" s="2">
        <v>28</v>
      </c>
    </row>
    <row r="294" spans="1:3">
      <c r="A294" s="1" t="s">
        <v>36</v>
      </c>
      <c r="B294" s="1" t="s">
        <v>206</v>
      </c>
      <c r="C294" s="2">
        <v>207</v>
      </c>
    </row>
    <row r="295" spans="1:3">
      <c r="A295" s="1" t="s">
        <v>36</v>
      </c>
      <c r="B295" s="1" t="s">
        <v>58</v>
      </c>
      <c r="C295" s="2">
        <v>479</v>
      </c>
    </row>
    <row r="296" spans="1:3">
      <c r="A296" s="1" t="s">
        <v>36</v>
      </c>
      <c r="B296" s="1" t="s">
        <v>65</v>
      </c>
      <c r="C296" s="2">
        <v>34</v>
      </c>
    </row>
    <row r="297" spans="1:3">
      <c r="A297" s="1" t="s">
        <v>36</v>
      </c>
      <c r="B297" s="1" t="s">
        <v>59</v>
      </c>
      <c r="C297" s="2">
        <v>734</v>
      </c>
    </row>
    <row r="298" spans="1:3">
      <c r="A298" s="1" t="s">
        <v>36</v>
      </c>
      <c r="B298" s="1" t="s">
        <v>61</v>
      </c>
      <c r="C298" s="2">
        <v>133</v>
      </c>
    </row>
    <row r="299" spans="1:3">
      <c r="A299" s="1" t="s">
        <v>36</v>
      </c>
      <c r="B299" s="1" t="s">
        <v>60</v>
      </c>
      <c r="C299" s="2">
        <v>1</v>
      </c>
    </row>
    <row r="300" spans="1:3">
      <c r="A300" s="1" t="s">
        <v>36</v>
      </c>
      <c r="B300" s="1" t="s">
        <v>57</v>
      </c>
      <c r="C300" s="2">
        <v>105</v>
      </c>
    </row>
    <row r="301" spans="1:3">
      <c r="A301" s="1" t="s">
        <v>36</v>
      </c>
      <c r="B301" s="1" t="s">
        <v>56</v>
      </c>
      <c r="C301" s="2">
        <v>806</v>
      </c>
    </row>
    <row r="302" spans="1:3">
      <c r="A302" s="1" t="s">
        <v>36</v>
      </c>
      <c r="B302" s="1" t="s">
        <v>205</v>
      </c>
      <c r="C302" s="2">
        <v>58</v>
      </c>
    </row>
    <row r="303" spans="1:3">
      <c r="A303" s="1" t="s">
        <v>37</v>
      </c>
      <c r="B303" s="1" t="s">
        <v>206</v>
      </c>
      <c r="C303" s="2">
        <v>2</v>
      </c>
    </row>
    <row r="304" spans="1:3">
      <c r="A304" s="1" t="s">
        <v>37</v>
      </c>
      <c r="B304" s="1" t="s">
        <v>58</v>
      </c>
      <c r="C304" s="2">
        <v>354</v>
      </c>
    </row>
    <row r="305" spans="1:3">
      <c r="A305" s="1" t="s">
        <v>37</v>
      </c>
      <c r="B305" s="1" t="s">
        <v>65</v>
      </c>
      <c r="C305" s="2">
        <v>58</v>
      </c>
    </row>
    <row r="306" spans="1:3">
      <c r="A306" s="1" t="s">
        <v>37</v>
      </c>
      <c r="B306" s="1" t="s">
        <v>59</v>
      </c>
      <c r="C306" s="2">
        <v>1051</v>
      </c>
    </row>
    <row r="307" spans="1:3">
      <c r="A307" s="1" t="s">
        <v>37</v>
      </c>
      <c r="B307" s="1" t="s">
        <v>61</v>
      </c>
      <c r="C307" s="2">
        <v>96</v>
      </c>
    </row>
    <row r="308" spans="1:3">
      <c r="A308" s="1" t="s">
        <v>37</v>
      </c>
      <c r="B308" s="1" t="s">
        <v>60</v>
      </c>
      <c r="C308" s="2">
        <v>1</v>
      </c>
    </row>
    <row r="309" spans="1:3">
      <c r="A309" s="1" t="s">
        <v>37</v>
      </c>
      <c r="B309" s="1" t="s">
        <v>57</v>
      </c>
      <c r="C309" s="2">
        <v>95</v>
      </c>
    </row>
    <row r="310" spans="1:3">
      <c r="A310" s="1" t="s">
        <v>37</v>
      </c>
      <c r="B310" s="1" t="s">
        <v>56</v>
      </c>
      <c r="C310" s="2">
        <v>722</v>
      </c>
    </row>
    <row r="311" spans="1:3">
      <c r="A311" s="1" t="s">
        <v>37</v>
      </c>
      <c r="B311" s="1" t="s">
        <v>205</v>
      </c>
      <c r="C311" s="2">
        <v>1</v>
      </c>
    </row>
    <row r="312" spans="1:3">
      <c r="A312" s="1" t="s">
        <v>37</v>
      </c>
      <c r="B312" s="1" t="s">
        <v>196</v>
      </c>
      <c r="C312" s="2">
        <v>1</v>
      </c>
    </row>
    <row r="313" spans="1:3">
      <c r="A313" s="1" t="s">
        <v>38</v>
      </c>
      <c r="B313" s="1" t="s">
        <v>58</v>
      </c>
      <c r="C313" s="2">
        <v>234</v>
      </c>
    </row>
    <row r="314" spans="1:3">
      <c r="A314" s="1" t="s">
        <v>38</v>
      </c>
      <c r="B314" s="1" t="s">
        <v>65</v>
      </c>
      <c r="C314" s="2">
        <v>54</v>
      </c>
    </row>
    <row r="315" spans="1:3">
      <c r="A315" s="1" t="s">
        <v>38</v>
      </c>
      <c r="B315" s="1" t="s">
        <v>59</v>
      </c>
      <c r="C315" s="2">
        <v>1968</v>
      </c>
    </row>
    <row r="316" spans="1:3">
      <c r="A316" s="1" t="s">
        <v>38</v>
      </c>
      <c r="B316" s="1" t="s">
        <v>61</v>
      </c>
      <c r="C316" s="2">
        <v>75</v>
      </c>
    </row>
    <row r="317" spans="1:3">
      <c r="A317" s="1" t="s">
        <v>38</v>
      </c>
      <c r="B317" s="1" t="s">
        <v>60</v>
      </c>
      <c r="C317" s="2">
        <v>2</v>
      </c>
    </row>
    <row r="318" spans="1:3">
      <c r="A318" s="1" t="s">
        <v>38</v>
      </c>
      <c r="B318" s="1" t="s">
        <v>57</v>
      </c>
      <c r="C318" s="2">
        <v>84</v>
      </c>
    </row>
    <row r="319" spans="1:3">
      <c r="A319" s="1" t="s">
        <v>38</v>
      </c>
      <c r="B319" s="1" t="s">
        <v>56</v>
      </c>
      <c r="C319" s="2">
        <v>679</v>
      </c>
    </row>
    <row r="320" spans="1:3">
      <c r="A320" s="1" t="s">
        <v>38</v>
      </c>
      <c r="B320" s="1" t="s">
        <v>205</v>
      </c>
      <c r="C320" s="2">
        <v>1</v>
      </c>
    </row>
    <row r="321" spans="1:3">
      <c r="A321" s="1" t="s">
        <v>38</v>
      </c>
      <c r="B321" s="1" t="s">
        <v>196</v>
      </c>
      <c r="C321" s="2">
        <v>1</v>
      </c>
    </row>
    <row r="322" spans="1:3">
      <c r="A322" s="1" t="s">
        <v>39</v>
      </c>
      <c r="B322" s="1" t="s">
        <v>58</v>
      </c>
      <c r="C322" s="2">
        <v>306</v>
      </c>
    </row>
    <row r="323" spans="1:3">
      <c r="A323" s="1" t="s">
        <v>39</v>
      </c>
      <c r="B323" s="1" t="s">
        <v>65</v>
      </c>
      <c r="C323" s="2">
        <v>44</v>
      </c>
    </row>
    <row r="324" spans="1:3">
      <c r="A324" s="1" t="s">
        <v>39</v>
      </c>
      <c r="B324" s="1" t="s">
        <v>59</v>
      </c>
      <c r="C324" s="2">
        <v>1407</v>
      </c>
    </row>
    <row r="325" spans="1:3">
      <c r="A325" s="1" t="s">
        <v>39</v>
      </c>
      <c r="B325" s="1" t="s">
        <v>61</v>
      </c>
      <c r="C325" s="2">
        <v>105</v>
      </c>
    </row>
    <row r="326" spans="1:3">
      <c r="A326" s="1" t="s">
        <v>39</v>
      </c>
      <c r="B326" s="1" t="s">
        <v>60</v>
      </c>
      <c r="C326" s="2">
        <v>3</v>
      </c>
    </row>
    <row r="327" spans="1:3">
      <c r="A327" s="1" t="s">
        <v>39</v>
      </c>
      <c r="B327" s="1" t="s">
        <v>57</v>
      </c>
      <c r="C327" s="2">
        <v>167</v>
      </c>
    </row>
    <row r="328" spans="1:3">
      <c r="A328" s="1" t="s">
        <v>39</v>
      </c>
      <c r="B328" s="1" t="s">
        <v>56</v>
      </c>
      <c r="C328" s="2">
        <v>527</v>
      </c>
    </row>
    <row r="329" spans="1:3">
      <c r="A329" s="1" t="s">
        <v>39</v>
      </c>
      <c r="B329" s="1" t="s">
        <v>66</v>
      </c>
      <c r="C329" s="2">
        <v>9</v>
      </c>
    </row>
    <row r="330" spans="1:3">
      <c r="A330" s="1" t="s">
        <v>39</v>
      </c>
      <c r="B330" s="1" t="s">
        <v>196</v>
      </c>
      <c r="C330" s="2">
        <v>1</v>
      </c>
    </row>
    <row r="331" spans="1:3">
      <c r="A331" s="1" t="s">
        <v>40</v>
      </c>
      <c r="B331" s="1" t="s">
        <v>58</v>
      </c>
      <c r="C331" s="2">
        <v>188</v>
      </c>
    </row>
    <row r="332" spans="1:3">
      <c r="A332" s="1" t="s">
        <v>40</v>
      </c>
      <c r="B332" s="1" t="s">
        <v>65</v>
      </c>
      <c r="C332" s="2">
        <v>11</v>
      </c>
    </row>
    <row r="333" spans="1:3">
      <c r="A333" s="1" t="s">
        <v>40</v>
      </c>
      <c r="B333" s="1" t="s">
        <v>59</v>
      </c>
      <c r="C333" s="2">
        <v>739</v>
      </c>
    </row>
    <row r="334" spans="1:3">
      <c r="A334" s="1" t="s">
        <v>40</v>
      </c>
      <c r="B334" s="1" t="s">
        <v>61</v>
      </c>
      <c r="C334" s="2">
        <v>13</v>
      </c>
    </row>
    <row r="335" spans="1:3">
      <c r="A335" s="1" t="s">
        <v>40</v>
      </c>
      <c r="B335" s="1" t="s">
        <v>60</v>
      </c>
      <c r="C335" s="2">
        <v>3</v>
      </c>
    </row>
    <row r="336" spans="1:3">
      <c r="A336" s="1" t="s">
        <v>40</v>
      </c>
      <c r="B336" s="1" t="s">
        <v>57</v>
      </c>
      <c r="C336" s="2">
        <v>89</v>
      </c>
    </row>
    <row r="337" spans="1:3">
      <c r="A337" s="1" t="s">
        <v>40</v>
      </c>
      <c r="B337" s="1" t="s">
        <v>56</v>
      </c>
      <c r="C337" s="2">
        <v>469</v>
      </c>
    </row>
    <row r="338" spans="1:3">
      <c r="A338" s="1" t="s">
        <v>40</v>
      </c>
      <c r="B338" s="1" t="s">
        <v>66</v>
      </c>
      <c r="C338" s="2">
        <v>2</v>
      </c>
    </row>
    <row r="339" spans="1:3">
      <c r="A339" s="1" t="s">
        <v>41</v>
      </c>
      <c r="B339" s="1" t="s">
        <v>58</v>
      </c>
      <c r="C339" s="2">
        <v>284</v>
      </c>
    </row>
    <row r="340" spans="1:3">
      <c r="A340" s="1" t="s">
        <v>41</v>
      </c>
      <c r="B340" s="1" t="s">
        <v>65</v>
      </c>
      <c r="C340" s="2">
        <v>28</v>
      </c>
    </row>
    <row r="341" spans="1:3">
      <c r="A341" s="1" t="s">
        <v>41</v>
      </c>
      <c r="B341" s="1" t="s">
        <v>59</v>
      </c>
      <c r="C341" s="2">
        <v>957</v>
      </c>
    </row>
    <row r="342" spans="1:3">
      <c r="A342" s="1" t="s">
        <v>41</v>
      </c>
      <c r="B342" s="1" t="s">
        <v>61</v>
      </c>
      <c r="C342" s="2">
        <v>2</v>
      </c>
    </row>
    <row r="343" spans="1:3">
      <c r="A343" s="1" t="s">
        <v>41</v>
      </c>
      <c r="B343" s="1" t="s">
        <v>67</v>
      </c>
      <c r="C343" s="2">
        <v>6</v>
      </c>
    </row>
    <row r="344" spans="1:3">
      <c r="A344" s="1" t="s">
        <v>41</v>
      </c>
      <c r="B344" s="1" t="s">
        <v>60</v>
      </c>
      <c r="C344" s="2">
        <v>1</v>
      </c>
    </row>
    <row r="345" spans="1:3">
      <c r="A345" s="1" t="s">
        <v>41</v>
      </c>
      <c r="B345" s="1" t="s">
        <v>57</v>
      </c>
      <c r="C345" s="2">
        <v>95</v>
      </c>
    </row>
    <row r="346" spans="1:3">
      <c r="A346" s="1" t="s">
        <v>41</v>
      </c>
      <c r="B346" s="1" t="s">
        <v>56</v>
      </c>
      <c r="C346" s="2">
        <v>198</v>
      </c>
    </row>
    <row r="347" spans="1:3">
      <c r="A347" s="1" t="s">
        <v>42</v>
      </c>
      <c r="B347" s="1" t="s">
        <v>58</v>
      </c>
      <c r="C347" s="2">
        <v>312</v>
      </c>
    </row>
    <row r="348" spans="1:3">
      <c r="A348" s="1" t="s">
        <v>42</v>
      </c>
      <c r="B348" s="1" t="s">
        <v>65</v>
      </c>
      <c r="C348" s="2">
        <v>57</v>
      </c>
    </row>
    <row r="349" spans="1:3">
      <c r="A349" s="1" t="s">
        <v>42</v>
      </c>
      <c r="B349" s="1" t="s">
        <v>59</v>
      </c>
      <c r="C349" s="2">
        <v>512</v>
      </c>
    </row>
    <row r="350" spans="1:3">
      <c r="A350" s="1" t="s">
        <v>42</v>
      </c>
      <c r="B350" s="1" t="s">
        <v>61</v>
      </c>
      <c r="C350" s="2">
        <v>2</v>
      </c>
    </row>
    <row r="351" spans="1:3">
      <c r="A351" s="1" t="s">
        <v>42</v>
      </c>
      <c r="B351" s="1" t="s">
        <v>57</v>
      </c>
      <c r="C351" s="2">
        <v>102</v>
      </c>
    </row>
    <row r="352" spans="1:3">
      <c r="A352" s="1" t="s">
        <v>42</v>
      </c>
      <c r="B352" s="1" t="s">
        <v>56</v>
      </c>
      <c r="C352" s="2">
        <v>310</v>
      </c>
    </row>
    <row r="353" spans="1:3">
      <c r="A353" s="1" t="s">
        <v>42</v>
      </c>
      <c r="B353" s="1" t="s">
        <v>66</v>
      </c>
      <c r="C353" s="2">
        <v>1</v>
      </c>
    </row>
    <row r="354" spans="1:3">
      <c r="A354" s="1" t="s">
        <v>42</v>
      </c>
      <c r="B354" s="1" t="s">
        <v>196</v>
      </c>
      <c r="C354" s="2">
        <v>37</v>
      </c>
    </row>
    <row r="355" spans="1:3">
      <c r="A355" s="1" t="s">
        <v>43</v>
      </c>
      <c r="B355" s="1" t="s">
        <v>58</v>
      </c>
      <c r="C355" s="2">
        <v>470</v>
      </c>
    </row>
    <row r="356" spans="1:3">
      <c r="A356" s="1" t="s">
        <v>43</v>
      </c>
      <c r="B356" s="1" t="s">
        <v>65</v>
      </c>
      <c r="C356" s="2">
        <v>75</v>
      </c>
    </row>
    <row r="357" spans="1:3">
      <c r="A357" s="1" t="s">
        <v>43</v>
      </c>
      <c r="B357" s="1" t="s">
        <v>59</v>
      </c>
      <c r="C357" s="2">
        <v>1101</v>
      </c>
    </row>
    <row r="358" spans="1:3">
      <c r="A358" s="1" t="s">
        <v>43</v>
      </c>
      <c r="B358" s="1" t="s">
        <v>61</v>
      </c>
      <c r="C358" s="2">
        <v>22</v>
      </c>
    </row>
    <row r="359" spans="1:3">
      <c r="A359" s="1" t="s">
        <v>43</v>
      </c>
      <c r="B359" s="1" t="s">
        <v>67</v>
      </c>
      <c r="C359" s="2">
        <v>2</v>
      </c>
    </row>
    <row r="360" spans="1:3">
      <c r="A360" s="1" t="s">
        <v>43</v>
      </c>
      <c r="B360" s="1" t="s">
        <v>57</v>
      </c>
      <c r="C360" s="2">
        <v>133</v>
      </c>
    </row>
    <row r="361" spans="1:3">
      <c r="A361" s="1" t="s">
        <v>43</v>
      </c>
      <c r="B361" s="1" t="s">
        <v>56</v>
      </c>
      <c r="C361" s="2">
        <v>331</v>
      </c>
    </row>
    <row r="362" spans="1:3">
      <c r="A362" s="1" t="s">
        <v>43</v>
      </c>
      <c r="B362" s="1" t="s">
        <v>205</v>
      </c>
      <c r="C362" s="2">
        <v>38</v>
      </c>
    </row>
    <row r="363" spans="1:3">
      <c r="A363" s="1" t="s">
        <v>43</v>
      </c>
      <c r="B363" s="1" t="s">
        <v>63</v>
      </c>
      <c r="C363" s="2">
        <v>12</v>
      </c>
    </row>
    <row r="364" spans="1:3">
      <c r="A364" s="1" t="s">
        <v>43</v>
      </c>
      <c r="B364" s="1" t="s">
        <v>66</v>
      </c>
      <c r="C364" s="2">
        <v>2</v>
      </c>
    </row>
    <row r="365" spans="1:3">
      <c r="A365" s="1" t="s">
        <v>43</v>
      </c>
      <c r="B365" s="1" t="s">
        <v>196</v>
      </c>
      <c r="C365" s="2">
        <v>1</v>
      </c>
    </row>
    <row r="366" spans="1:3">
      <c r="A366" s="1" t="s">
        <v>44</v>
      </c>
      <c r="B366" s="1" t="s">
        <v>58</v>
      </c>
      <c r="C366" s="2">
        <v>542</v>
      </c>
    </row>
    <row r="367" spans="1:3">
      <c r="A367" s="1" t="s">
        <v>44</v>
      </c>
      <c r="B367" s="1" t="s">
        <v>65</v>
      </c>
      <c r="C367" s="2">
        <v>37</v>
      </c>
    </row>
    <row r="368" spans="1:3">
      <c r="A368" s="1" t="s">
        <v>44</v>
      </c>
      <c r="B368" s="1" t="s">
        <v>59</v>
      </c>
      <c r="C368" s="2">
        <v>1105</v>
      </c>
    </row>
    <row r="369" spans="1:3">
      <c r="A369" s="1" t="s">
        <v>44</v>
      </c>
      <c r="B369" s="1" t="s">
        <v>61</v>
      </c>
      <c r="C369" s="2">
        <v>99</v>
      </c>
    </row>
    <row r="370" spans="1:3">
      <c r="A370" s="1" t="s">
        <v>44</v>
      </c>
      <c r="B370" s="1" t="s">
        <v>60</v>
      </c>
      <c r="C370" s="2">
        <v>2</v>
      </c>
    </row>
    <row r="371" spans="1:3">
      <c r="A371" s="1" t="s">
        <v>44</v>
      </c>
      <c r="B371" s="1" t="s">
        <v>57</v>
      </c>
      <c r="C371" s="2">
        <v>107</v>
      </c>
    </row>
    <row r="372" spans="1:3">
      <c r="A372" s="1" t="s">
        <v>44</v>
      </c>
      <c r="B372" s="1" t="s">
        <v>56</v>
      </c>
      <c r="C372" s="2">
        <v>256</v>
      </c>
    </row>
    <row r="373" spans="1:3">
      <c r="A373" s="1" t="s">
        <v>44</v>
      </c>
      <c r="B373" s="1" t="s">
        <v>205</v>
      </c>
      <c r="C373" s="2">
        <v>5</v>
      </c>
    </row>
    <row r="374" spans="1:3">
      <c r="A374" s="1" t="s">
        <v>45</v>
      </c>
      <c r="B374" s="1" t="s">
        <v>58</v>
      </c>
      <c r="C374" s="2">
        <v>441</v>
      </c>
    </row>
    <row r="375" spans="1:3">
      <c r="A375" s="1" t="s">
        <v>45</v>
      </c>
      <c r="B375" s="1" t="s">
        <v>65</v>
      </c>
      <c r="C375" s="2">
        <v>46</v>
      </c>
    </row>
    <row r="376" spans="1:3">
      <c r="A376" s="1" t="s">
        <v>45</v>
      </c>
      <c r="B376" s="1" t="s">
        <v>59</v>
      </c>
      <c r="C376" s="2">
        <v>1011</v>
      </c>
    </row>
    <row r="377" spans="1:3">
      <c r="A377" s="1" t="s">
        <v>45</v>
      </c>
      <c r="B377" s="1" t="s">
        <v>61</v>
      </c>
      <c r="C377" s="2">
        <v>135</v>
      </c>
    </row>
    <row r="378" spans="1:3">
      <c r="A378" s="1" t="s">
        <v>45</v>
      </c>
      <c r="B378" s="1" t="s">
        <v>57</v>
      </c>
      <c r="C378" s="2">
        <v>172</v>
      </c>
    </row>
    <row r="379" spans="1:3">
      <c r="A379" s="1" t="s">
        <v>45</v>
      </c>
      <c r="B379" s="1" t="s">
        <v>56</v>
      </c>
      <c r="C379" s="2">
        <v>178</v>
      </c>
    </row>
    <row r="380" spans="1:3">
      <c r="A380" s="1" t="s">
        <v>45</v>
      </c>
      <c r="B380" s="1" t="s">
        <v>205</v>
      </c>
      <c r="C380" s="2">
        <v>5</v>
      </c>
    </row>
    <row r="381" spans="1:3">
      <c r="A381" s="1" t="s">
        <v>46</v>
      </c>
      <c r="B381" s="1" t="s">
        <v>58</v>
      </c>
      <c r="C381" s="2">
        <v>556</v>
      </c>
    </row>
    <row r="382" spans="1:3">
      <c r="A382" s="1" t="s">
        <v>46</v>
      </c>
      <c r="B382" s="1" t="s">
        <v>65</v>
      </c>
      <c r="C382" s="2">
        <v>41</v>
      </c>
    </row>
    <row r="383" spans="1:3">
      <c r="A383" s="1" t="s">
        <v>46</v>
      </c>
      <c r="B383" s="1" t="s">
        <v>59</v>
      </c>
      <c r="C383" s="2">
        <v>365</v>
      </c>
    </row>
    <row r="384" spans="1:3">
      <c r="A384" s="1" t="s">
        <v>46</v>
      </c>
      <c r="B384" s="1" t="s">
        <v>69</v>
      </c>
      <c r="C384" s="2">
        <v>604</v>
      </c>
    </row>
    <row r="385" spans="1:3">
      <c r="A385" s="1" t="s">
        <v>46</v>
      </c>
      <c r="B385" s="1" t="s">
        <v>61</v>
      </c>
      <c r="C385" s="2">
        <v>109</v>
      </c>
    </row>
    <row r="386" spans="1:3">
      <c r="A386" s="1" t="s">
        <v>46</v>
      </c>
      <c r="B386" s="1" t="s">
        <v>57</v>
      </c>
      <c r="C386" s="2">
        <v>135</v>
      </c>
    </row>
    <row r="387" spans="1:3">
      <c r="A387" s="1" t="s">
        <v>46</v>
      </c>
      <c r="B387" s="1" t="s">
        <v>56</v>
      </c>
      <c r="C387" s="2">
        <v>105</v>
      </c>
    </row>
    <row r="388" spans="1:3">
      <c r="A388" s="1" t="s">
        <v>46</v>
      </c>
      <c r="B388" s="1" t="s">
        <v>205</v>
      </c>
      <c r="C388" s="2">
        <v>4</v>
      </c>
    </row>
    <row r="389" spans="1:3">
      <c r="A389" s="1" t="s">
        <v>46</v>
      </c>
      <c r="B389" s="1" t="s">
        <v>196</v>
      </c>
      <c r="C389" s="2">
        <v>2</v>
      </c>
    </row>
    <row r="390" spans="1:3">
      <c r="A390" s="1" t="s">
        <v>47</v>
      </c>
      <c r="B390" s="1" t="s">
        <v>58</v>
      </c>
      <c r="C390" s="2">
        <v>1017</v>
      </c>
    </row>
    <row r="391" spans="1:3">
      <c r="A391" s="1" t="s">
        <v>47</v>
      </c>
      <c r="B391" s="1" t="s">
        <v>65</v>
      </c>
      <c r="C391" s="2">
        <v>33</v>
      </c>
    </row>
    <row r="392" spans="1:3">
      <c r="A392" s="1" t="s">
        <v>47</v>
      </c>
      <c r="B392" s="1" t="s">
        <v>69</v>
      </c>
      <c r="C392" s="2">
        <v>1136</v>
      </c>
    </row>
    <row r="393" spans="1:3">
      <c r="A393" s="1" t="s">
        <v>47</v>
      </c>
      <c r="B393" s="1" t="s">
        <v>61</v>
      </c>
      <c r="C393" s="2">
        <v>143</v>
      </c>
    </row>
    <row r="394" spans="1:3">
      <c r="A394" s="1" t="s">
        <v>47</v>
      </c>
      <c r="B394" s="1" t="s">
        <v>60</v>
      </c>
      <c r="C394" s="2">
        <v>4</v>
      </c>
    </row>
    <row r="395" spans="1:3">
      <c r="A395" s="1" t="s">
        <v>47</v>
      </c>
      <c r="B395" s="1" t="s">
        <v>57</v>
      </c>
      <c r="C395" s="2">
        <v>56</v>
      </c>
    </row>
    <row r="396" spans="1:3">
      <c r="A396" s="1" t="s">
        <v>47</v>
      </c>
      <c r="B396" s="1" t="s">
        <v>56</v>
      </c>
      <c r="C396" s="2">
        <v>169</v>
      </c>
    </row>
    <row r="397" spans="1:3">
      <c r="A397" s="1" t="s">
        <v>47</v>
      </c>
      <c r="B397" s="1" t="s">
        <v>205</v>
      </c>
      <c r="C397" s="2">
        <v>67</v>
      </c>
    </row>
    <row r="398" spans="1:3">
      <c r="A398" s="1" t="s">
        <v>47</v>
      </c>
      <c r="B398" s="1" t="s">
        <v>63</v>
      </c>
      <c r="C398" s="2">
        <v>3</v>
      </c>
    </row>
    <row r="399" spans="1:3">
      <c r="A399" s="1" t="s">
        <v>48</v>
      </c>
      <c r="B399" s="1" t="s">
        <v>58</v>
      </c>
      <c r="C399" s="2">
        <v>1421</v>
      </c>
    </row>
    <row r="400" spans="1:3">
      <c r="A400" s="1" t="s">
        <v>48</v>
      </c>
      <c r="B400" s="1" t="s">
        <v>65</v>
      </c>
      <c r="C400" s="2">
        <v>40</v>
      </c>
    </row>
    <row r="401" spans="1:3">
      <c r="A401" s="1" t="s">
        <v>48</v>
      </c>
      <c r="B401" s="1" t="s">
        <v>69</v>
      </c>
      <c r="C401" s="2">
        <v>1149</v>
      </c>
    </row>
    <row r="402" spans="1:3">
      <c r="A402" s="1" t="s">
        <v>48</v>
      </c>
      <c r="B402" s="1" t="s">
        <v>61</v>
      </c>
      <c r="C402" s="2">
        <v>204</v>
      </c>
    </row>
    <row r="403" spans="1:3">
      <c r="A403" s="1" t="s">
        <v>48</v>
      </c>
      <c r="B403" s="1" t="s">
        <v>56</v>
      </c>
      <c r="C403" s="2">
        <v>222</v>
      </c>
    </row>
    <row r="404" spans="1:3">
      <c r="A404" s="1" t="s">
        <v>48</v>
      </c>
      <c r="B404" s="1" t="s">
        <v>205</v>
      </c>
      <c r="C404" s="2">
        <v>74</v>
      </c>
    </row>
    <row r="405" spans="1:3">
      <c r="A405" s="1" t="s">
        <v>49</v>
      </c>
      <c r="B405" s="1" t="s">
        <v>58</v>
      </c>
      <c r="C405" s="2">
        <v>1165</v>
      </c>
    </row>
    <row r="406" spans="1:3">
      <c r="A406" s="1" t="s">
        <v>49</v>
      </c>
      <c r="B406" s="1" t="s">
        <v>65</v>
      </c>
      <c r="C406" s="2">
        <v>30</v>
      </c>
    </row>
    <row r="407" spans="1:3">
      <c r="A407" s="1" t="s">
        <v>49</v>
      </c>
      <c r="B407" s="1" t="s">
        <v>69</v>
      </c>
      <c r="C407" s="2">
        <v>946</v>
      </c>
    </row>
    <row r="408" spans="1:3">
      <c r="A408" s="1" t="s">
        <v>49</v>
      </c>
      <c r="B408" s="1" t="s">
        <v>61</v>
      </c>
      <c r="C408" s="2">
        <v>122</v>
      </c>
    </row>
    <row r="409" spans="1:3">
      <c r="A409" s="1" t="s">
        <v>49</v>
      </c>
      <c r="B409" s="1" t="s">
        <v>60</v>
      </c>
      <c r="C409" s="2">
        <v>2</v>
      </c>
    </row>
    <row r="410" spans="1:3">
      <c r="A410" s="1" t="s">
        <v>49</v>
      </c>
      <c r="B410" s="1" t="s">
        <v>56</v>
      </c>
      <c r="C410" s="2">
        <v>442</v>
      </c>
    </row>
    <row r="411" spans="1:3">
      <c r="A411" s="1" t="s">
        <v>49</v>
      </c>
      <c r="B411" s="1" t="s">
        <v>205</v>
      </c>
      <c r="C411" s="2">
        <v>39</v>
      </c>
    </row>
    <row r="412" spans="1:3">
      <c r="A412" s="1" t="s">
        <v>49</v>
      </c>
      <c r="B412" s="1" t="s">
        <v>62</v>
      </c>
      <c r="C412" s="2">
        <v>57</v>
      </c>
    </row>
    <row r="413" spans="1:3">
      <c r="A413" s="1" t="s">
        <v>49</v>
      </c>
      <c r="B413" s="1" t="s">
        <v>196</v>
      </c>
      <c r="C413" s="2">
        <v>9</v>
      </c>
    </row>
    <row r="414" spans="1:3">
      <c r="A414" s="1" t="s">
        <v>50</v>
      </c>
      <c r="B414" s="1" t="s">
        <v>58</v>
      </c>
      <c r="C414" s="2">
        <v>1077</v>
      </c>
    </row>
    <row r="415" spans="1:3">
      <c r="A415" s="1" t="s">
        <v>50</v>
      </c>
      <c r="B415" s="1" t="s">
        <v>65</v>
      </c>
      <c r="C415" s="2">
        <v>49</v>
      </c>
    </row>
    <row r="416" spans="1:3">
      <c r="A416" s="1" t="s">
        <v>50</v>
      </c>
      <c r="B416" s="1" t="s">
        <v>69</v>
      </c>
      <c r="C416" s="2">
        <v>758</v>
      </c>
    </row>
    <row r="417" spans="1:3">
      <c r="A417" s="1" t="s">
        <v>50</v>
      </c>
      <c r="B417" s="1" t="s">
        <v>61</v>
      </c>
      <c r="C417" s="2">
        <v>1</v>
      </c>
    </row>
    <row r="418" spans="1:3">
      <c r="A418" s="1" t="s">
        <v>50</v>
      </c>
      <c r="B418" s="1" t="s">
        <v>60</v>
      </c>
      <c r="C418" s="2">
        <v>2</v>
      </c>
    </row>
    <row r="419" spans="1:3">
      <c r="A419" s="1" t="s">
        <v>50</v>
      </c>
      <c r="B419" s="1" t="s">
        <v>56</v>
      </c>
      <c r="C419" s="2">
        <v>651</v>
      </c>
    </row>
    <row r="420" spans="1:3">
      <c r="A420" s="1" t="s">
        <v>50</v>
      </c>
      <c r="B420" s="1" t="s">
        <v>62</v>
      </c>
      <c r="C420" s="2">
        <v>149</v>
      </c>
    </row>
    <row r="421" spans="1:3">
      <c r="A421" s="1" t="s">
        <v>50</v>
      </c>
      <c r="B421" s="1" t="s">
        <v>196</v>
      </c>
      <c r="C421" s="2">
        <v>3</v>
      </c>
    </row>
    <row r="422" spans="1:3">
      <c r="A422" s="1" t="s">
        <v>51</v>
      </c>
      <c r="B422" s="1" t="s">
        <v>58</v>
      </c>
      <c r="C422" s="2">
        <v>1203</v>
      </c>
    </row>
    <row r="423" spans="1:3">
      <c r="A423" s="1" t="s">
        <v>51</v>
      </c>
      <c r="B423" s="1" t="s">
        <v>65</v>
      </c>
      <c r="C423" s="2">
        <v>67</v>
      </c>
    </row>
    <row r="424" spans="1:3">
      <c r="A424" s="1" t="s">
        <v>51</v>
      </c>
      <c r="B424" s="1" t="s">
        <v>69</v>
      </c>
      <c r="C424" s="2">
        <v>969</v>
      </c>
    </row>
    <row r="425" spans="1:3">
      <c r="A425" s="1" t="s">
        <v>51</v>
      </c>
      <c r="B425" s="1" t="s">
        <v>60</v>
      </c>
      <c r="C425" s="2">
        <v>1</v>
      </c>
    </row>
    <row r="426" spans="1:3">
      <c r="A426" s="1" t="s">
        <v>51</v>
      </c>
      <c r="B426" s="1" t="s">
        <v>56</v>
      </c>
      <c r="C426" s="2">
        <v>618</v>
      </c>
    </row>
    <row r="427" spans="1:3">
      <c r="A427" s="1" t="s">
        <v>51</v>
      </c>
      <c r="B427" s="1" t="s">
        <v>62</v>
      </c>
      <c r="C427" s="2">
        <v>131</v>
      </c>
    </row>
    <row r="428" spans="1:3">
      <c r="A428" s="1" t="s">
        <v>52</v>
      </c>
      <c r="B428" s="1" t="s">
        <v>58</v>
      </c>
      <c r="C428" s="2">
        <v>711</v>
      </c>
    </row>
    <row r="429" spans="1:3">
      <c r="A429" s="1" t="s">
        <v>52</v>
      </c>
      <c r="B429" s="1" t="s">
        <v>65</v>
      </c>
      <c r="C429" s="2">
        <v>61</v>
      </c>
    </row>
    <row r="430" spans="1:3">
      <c r="A430" s="1" t="s">
        <v>52</v>
      </c>
      <c r="B430" s="1" t="s">
        <v>69</v>
      </c>
      <c r="C430" s="2">
        <v>713</v>
      </c>
    </row>
    <row r="431" spans="1:3">
      <c r="A431" s="1" t="s">
        <v>52</v>
      </c>
      <c r="B431" s="1" t="s">
        <v>60</v>
      </c>
      <c r="C431" s="2">
        <v>1</v>
      </c>
    </row>
    <row r="432" spans="1:3">
      <c r="A432" s="1" t="s">
        <v>52</v>
      </c>
      <c r="B432" s="1" t="s">
        <v>56</v>
      </c>
      <c r="C432" s="2">
        <v>561</v>
      </c>
    </row>
    <row r="433" spans="1:3">
      <c r="A433" s="1" t="s">
        <v>52</v>
      </c>
      <c r="B433" s="1" t="s">
        <v>63</v>
      </c>
      <c r="C433" s="2">
        <v>22</v>
      </c>
    </row>
    <row r="434" spans="1:3">
      <c r="A434" s="1" t="s">
        <v>52</v>
      </c>
      <c r="B434" s="1" t="s">
        <v>62</v>
      </c>
      <c r="C434" s="2">
        <v>69</v>
      </c>
    </row>
    <row r="435" spans="1:3">
      <c r="A435" s="1" t="s">
        <v>53</v>
      </c>
      <c r="B435" s="1" t="s">
        <v>58</v>
      </c>
      <c r="C435" s="2">
        <v>215</v>
      </c>
    </row>
    <row r="436" spans="1:3">
      <c r="A436" s="1" t="s">
        <v>53</v>
      </c>
      <c r="B436" s="1" t="s">
        <v>65</v>
      </c>
      <c r="C436" s="2">
        <v>21</v>
      </c>
    </row>
    <row r="437" spans="1:3">
      <c r="A437" s="1" t="s">
        <v>53</v>
      </c>
      <c r="B437" s="1" t="s">
        <v>69</v>
      </c>
      <c r="C437" s="2">
        <v>242</v>
      </c>
    </row>
    <row r="438" spans="1:3">
      <c r="A438" s="1" t="s">
        <v>53</v>
      </c>
      <c r="B438" s="1" t="s">
        <v>56</v>
      </c>
      <c r="C438" s="2">
        <v>131</v>
      </c>
    </row>
    <row r="439" spans="1:3">
      <c r="A439" s="1" t="s">
        <v>53</v>
      </c>
      <c r="B439" s="1" t="s">
        <v>62</v>
      </c>
      <c r="C439" s="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Overall Billing Data</vt:lpstr>
      <vt:lpstr>BIlling done Insurer Wise</vt:lpstr>
      <vt:lpstr>Apr 2026</vt:lpstr>
      <vt:lpstr>Sheet2</vt:lpstr>
      <vt:lpstr>Plan</vt:lpstr>
      <vt:lpstr>Incoming orders</vt:lpstr>
      <vt:lpstr>Closed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Najmul Islam</cp:lastModifiedBy>
  <dcterms:created xsi:type="dcterms:W3CDTF">2026-05-12T21:55:00Z</dcterms:created>
  <dcterms:modified xsi:type="dcterms:W3CDTF">2026-05-14T23:51:05Z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FB5737EB7392BE0A4185016ACEA7C9A9_42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